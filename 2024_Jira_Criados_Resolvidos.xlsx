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nvrs.sharepoint.com/sites/Tecnologia/Documentos Compartilhados/Documentos administrativos/Relatorios/2024/"/>
    </mc:Choice>
  </mc:AlternateContent>
  <xr:revisionPtr revIDLastSave="1928" documentId="13_ncr:1_{82FC825C-E73C-4886-BA37-458E77BFC0D3}" xr6:coauthVersionLast="47" xr6:coauthVersionMax="47" xr10:uidLastSave="{A13A852C-7C2C-44EE-A06B-70EAFD4D8BB2}"/>
  <bookViews>
    <workbookView xWindow="-120" yWindow="-120" windowWidth="29040" windowHeight="15720" xr2:uid="{00000000-000D-0000-FFFF-FFFF00000000}"/>
  </bookViews>
  <sheets>
    <sheet name="Resumo" sheetId="4" r:id="rId1"/>
    <sheet name="Jan" sheetId="3" r:id="rId2"/>
    <sheet name="Fev" sheetId="1" r:id="rId3"/>
    <sheet name="Mar" sheetId="5" r:id="rId4"/>
    <sheet name="Abr" sheetId="6" r:id="rId5"/>
    <sheet name="Mai" sheetId="7" r:id="rId6"/>
    <sheet name="Jun" sheetId="9" r:id="rId7"/>
    <sheet name="Jul" sheetId="10" r:id="rId8"/>
    <sheet name="Ago" sheetId="11" r:id="rId9"/>
    <sheet name="Set" sheetId="12" r:id="rId10"/>
    <sheet name="Out" sheetId="13" r:id="rId11"/>
    <sheet name="Nov" sheetId="14" r:id="rId12"/>
    <sheet name="Dez" sheetId="15" r:id="rId13"/>
  </sheets>
  <definedNames>
    <definedName name="_xlnm._FilterDatabase" localSheetId="4" hidden="1">Abr!$A$1:$I$16</definedName>
    <definedName name="_xlnm._FilterDatabase" localSheetId="8" hidden="1">Ago!$A$1:$I$19</definedName>
    <definedName name="_xlnm._FilterDatabase" localSheetId="2" hidden="1">Fev!$A$1:$I$16</definedName>
    <definedName name="_xlnm._FilterDatabase" localSheetId="1" hidden="1">Jan!$A$1:$I$20</definedName>
    <definedName name="_xlnm._FilterDatabase" localSheetId="7" hidden="1">Jul!$A$1:$I$16</definedName>
    <definedName name="_xlnm._FilterDatabase" localSheetId="6" hidden="1">Jun!$A$1:$I$16</definedName>
    <definedName name="_xlnm._FilterDatabase" localSheetId="5" hidden="1">Mai!$A$1:$I$18</definedName>
    <definedName name="_xlnm._FilterDatabase" localSheetId="3" hidden="1">Mar!#REF!</definedName>
    <definedName name="_xlnm._FilterDatabase" localSheetId="11" hidden="1">Nov!$A$1:$I$20</definedName>
    <definedName name="_xlnm._FilterDatabase" localSheetId="10" hidden="1">Out!$A$1:$J$23</definedName>
    <definedName name="_xlnm._FilterDatabase" localSheetId="9" hidden="1">Set!$A$1:$J$18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4" l="1"/>
  <c r="H33" i="4"/>
  <c r="F33" i="4"/>
  <c r="E33" i="4"/>
  <c r="D33" i="4"/>
  <c r="C33" i="4"/>
  <c r="B33" i="4"/>
  <c r="G50" i="4"/>
  <c r="F50" i="4"/>
  <c r="D50" i="4"/>
  <c r="C50" i="4"/>
  <c r="B50" i="4"/>
  <c r="H46" i="4"/>
  <c r="G46" i="4"/>
  <c r="F46" i="4"/>
  <c r="E46" i="4"/>
  <c r="D46" i="4"/>
  <c r="C46" i="4"/>
  <c r="B46" i="4"/>
  <c r="J28" i="4"/>
  <c r="I28" i="4"/>
  <c r="H28" i="4"/>
  <c r="G28" i="4"/>
  <c r="F28" i="4"/>
  <c r="E28" i="4"/>
  <c r="D28" i="4"/>
  <c r="C28" i="4"/>
  <c r="B28" i="4"/>
  <c r="I15" i="4"/>
  <c r="H15" i="4"/>
  <c r="F15" i="4"/>
  <c r="E15" i="4"/>
  <c r="D15" i="4"/>
  <c r="C15" i="4"/>
  <c r="B15" i="4"/>
  <c r="F11" i="4"/>
  <c r="G11" i="4"/>
  <c r="H11" i="4"/>
  <c r="I11" i="4"/>
  <c r="J11" i="4"/>
  <c r="E11" i="4"/>
  <c r="D11" i="4"/>
  <c r="C11" i="4"/>
  <c r="B11" i="4"/>
  <c r="J32" i="12"/>
  <c r="I32" i="12"/>
  <c r="H32" i="12"/>
  <c r="G32" i="12"/>
  <c r="F32" i="12"/>
  <c r="E32" i="12"/>
  <c r="D32" i="12"/>
  <c r="J31" i="12"/>
  <c r="I31" i="12"/>
  <c r="H31" i="12"/>
  <c r="G31" i="12"/>
  <c r="F31" i="12"/>
  <c r="E31" i="12"/>
  <c r="D31" i="12"/>
  <c r="C31" i="12"/>
  <c r="B31" i="12"/>
  <c r="J30" i="12"/>
  <c r="I30" i="12"/>
  <c r="H30" i="12"/>
  <c r="G30" i="12"/>
  <c r="F30" i="12"/>
  <c r="E30" i="12"/>
  <c r="D30" i="12"/>
  <c r="C30" i="12"/>
  <c r="B30" i="12"/>
  <c r="H45" i="4"/>
  <c r="G45" i="4"/>
  <c r="F45" i="4"/>
  <c r="E45" i="4"/>
  <c r="D45" i="4"/>
  <c r="C45" i="4"/>
  <c r="B45" i="4"/>
  <c r="J27" i="4"/>
  <c r="I27" i="4"/>
  <c r="H27" i="4"/>
  <c r="G27" i="4"/>
  <c r="F27" i="4"/>
  <c r="E27" i="4"/>
  <c r="D27" i="4"/>
  <c r="C27" i="4"/>
  <c r="B27" i="4"/>
  <c r="J10" i="4"/>
  <c r="I10" i="4"/>
  <c r="H10" i="4"/>
  <c r="G10" i="4"/>
  <c r="F10" i="4"/>
  <c r="E10" i="4"/>
  <c r="D10" i="4"/>
  <c r="C10" i="4"/>
  <c r="B10" i="4"/>
  <c r="I32" i="11"/>
  <c r="F32" i="11"/>
  <c r="E32" i="11"/>
  <c r="J31" i="11"/>
  <c r="J32" i="11" s="1"/>
  <c r="I31" i="11"/>
  <c r="H31" i="11"/>
  <c r="H32" i="11" s="1"/>
  <c r="G31" i="11"/>
  <c r="G32" i="11" s="1"/>
  <c r="F31" i="11"/>
  <c r="E31" i="11"/>
  <c r="D31" i="11"/>
  <c r="D32" i="11" s="1"/>
  <c r="C31" i="11"/>
  <c r="B31" i="11"/>
  <c r="J30" i="11"/>
  <c r="I30" i="11"/>
  <c r="H30" i="11"/>
  <c r="G30" i="11"/>
  <c r="F30" i="11"/>
  <c r="E30" i="11"/>
  <c r="D30" i="11"/>
  <c r="C30" i="11"/>
  <c r="B30" i="11"/>
  <c r="J32" i="10"/>
  <c r="I32" i="10"/>
  <c r="H32" i="10"/>
  <c r="G32" i="10"/>
  <c r="F32" i="10"/>
  <c r="E32" i="10"/>
  <c r="D32" i="10"/>
  <c r="I32" i="9"/>
  <c r="H32" i="9"/>
  <c r="G32" i="9"/>
  <c r="F32" i="9"/>
  <c r="E32" i="9"/>
  <c r="D32" i="9"/>
  <c r="I32" i="7"/>
  <c r="H32" i="7"/>
  <c r="G32" i="7"/>
  <c r="F32" i="7"/>
  <c r="E32" i="7"/>
  <c r="D32" i="7"/>
  <c r="I32" i="6"/>
  <c r="H32" i="6"/>
  <c r="G32" i="6"/>
  <c r="F32" i="6"/>
  <c r="E32" i="6"/>
  <c r="D32" i="6"/>
  <c r="I32" i="5"/>
  <c r="H32" i="5"/>
  <c r="G32" i="5"/>
  <c r="F32" i="5"/>
  <c r="E32" i="5"/>
  <c r="D32" i="5"/>
  <c r="I32" i="1"/>
  <c r="H32" i="1"/>
  <c r="G32" i="1"/>
  <c r="F32" i="1"/>
  <c r="E32" i="1"/>
  <c r="D32" i="1"/>
  <c r="I32" i="3"/>
  <c r="H32" i="3"/>
  <c r="G32" i="3"/>
  <c r="F32" i="3"/>
  <c r="E32" i="3"/>
  <c r="D32" i="3"/>
  <c r="I47" i="4" l="1"/>
  <c r="I48" i="4"/>
  <c r="I49" i="4"/>
  <c r="H49" i="4"/>
  <c r="H48" i="4"/>
  <c r="H47" i="4"/>
  <c r="H50" i="4"/>
  <c r="H44" i="4"/>
  <c r="H43" i="4"/>
  <c r="H42" i="4"/>
  <c r="H41" i="4"/>
  <c r="H40" i="4"/>
  <c r="H39" i="4"/>
  <c r="H38" i="4"/>
  <c r="J32" i="4"/>
  <c r="J31" i="4"/>
  <c r="J30" i="4"/>
  <c r="J29" i="4"/>
  <c r="J33" i="4"/>
  <c r="J26" i="4"/>
  <c r="J25" i="4"/>
  <c r="J24" i="4"/>
  <c r="J23" i="4"/>
  <c r="J22" i="4"/>
  <c r="J21" i="4"/>
  <c r="J20" i="4"/>
  <c r="J14" i="4"/>
  <c r="J13" i="4"/>
  <c r="J12" i="4"/>
  <c r="J15" i="4"/>
  <c r="J9" i="4"/>
  <c r="J8" i="4"/>
  <c r="J7" i="4"/>
  <c r="J6" i="4"/>
  <c r="J5" i="4"/>
  <c r="J4" i="4"/>
  <c r="J3" i="4"/>
  <c r="G44" i="4"/>
  <c r="F44" i="4"/>
  <c r="E44" i="4"/>
  <c r="D44" i="4"/>
  <c r="C44" i="4"/>
  <c r="B44" i="4"/>
  <c r="I26" i="4"/>
  <c r="H26" i="4"/>
  <c r="G26" i="4"/>
  <c r="F26" i="4"/>
  <c r="E26" i="4"/>
  <c r="D26" i="4"/>
  <c r="C26" i="4"/>
  <c r="B26" i="4"/>
  <c r="I9" i="4"/>
  <c r="H9" i="4"/>
  <c r="G9" i="4"/>
  <c r="F9" i="4"/>
  <c r="E9" i="4"/>
  <c r="D9" i="4"/>
  <c r="C9" i="4"/>
  <c r="B9" i="4"/>
  <c r="J30" i="10"/>
  <c r="J31" i="10"/>
  <c r="I31" i="10"/>
  <c r="H31" i="10"/>
  <c r="G31" i="10"/>
  <c r="F31" i="10"/>
  <c r="E31" i="10"/>
  <c r="D31" i="10"/>
  <c r="C31" i="10"/>
  <c r="B31" i="10"/>
  <c r="I30" i="10"/>
  <c r="H30" i="10"/>
  <c r="G30" i="10"/>
  <c r="F30" i="10"/>
  <c r="E30" i="10"/>
  <c r="D30" i="10"/>
  <c r="C30" i="10"/>
  <c r="B30" i="10"/>
  <c r="G43" i="4"/>
  <c r="F43" i="4"/>
  <c r="E43" i="4"/>
  <c r="D43" i="4"/>
  <c r="C43" i="4"/>
  <c r="B43" i="4"/>
  <c r="I25" i="4"/>
  <c r="H25" i="4"/>
  <c r="G25" i="4"/>
  <c r="F25" i="4"/>
  <c r="E25" i="4"/>
  <c r="D25" i="4"/>
  <c r="C25" i="4"/>
  <c r="B25" i="4"/>
  <c r="I8" i="4"/>
  <c r="H8" i="4"/>
  <c r="G8" i="4"/>
  <c r="F8" i="4"/>
  <c r="E8" i="4"/>
  <c r="D8" i="4"/>
  <c r="C8" i="4"/>
  <c r="B8" i="4"/>
  <c r="I31" i="9"/>
  <c r="H31" i="9"/>
  <c r="G31" i="9"/>
  <c r="F31" i="9"/>
  <c r="E31" i="9"/>
  <c r="D31" i="9"/>
  <c r="C31" i="9"/>
  <c r="B31" i="9"/>
  <c r="I30" i="9"/>
  <c r="H30" i="9"/>
  <c r="G30" i="9"/>
  <c r="F30" i="9"/>
  <c r="E30" i="9"/>
  <c r="D30" i="9"/>
  <c r="C30" i="9"/>
  <c r="B30" i="9"/>
  <c r="G42" i="4"/>
  <c r="F42" i="4"/>
  <c r="E42" i="4"/>
  <c r="D42" i="4"/>
  <c r="C42" i="4"/>
  <c r="B42" i="4"/>
  <c r="I24" i="4"/>
  <c r="H24" i="4"/>
  <c r="G24" i="4"/>
  <c r="F24" i="4"/>
  <c r="E24" i="4"/>
  <c r="D24" i="4"/>
  <c r="C24" i="4"/>
  <c r="B24" i="4"/>
  <c r="I7" i="4"/>
  <c r="H7" i="4"/>
  <c r="G7" i="4"/>
  <c r="F7" i="4"/>
  <c r="E7" i="4"/>
  <c r="D7" i="4"/>
  <c r="C7" i="4"/>
  <c r="B7" i="4"/>
  <c r="I31" i="7"/>
  <c r="H31" i="7"/>
  <c r="G31" i="7"/>
  <c r="F31" i="7"/>
  <c r="E31" i="7"/>
  <c r="D31" i="7"/>
  <c r="C31" i="7"/>
  <c r="B31" i="7"/>
  <c r="I30" i="7"/>
  <c r="H30" i="7"/>
  <c r="G30" i="7"/>
  <c r="F30" i="7"/>
  <c r="E30" i="7"/>
  <c r="D30" i="7"/>
  <c r="C30" i="7"/>
  <c r="B30" i="7"/>
  <c r="C23" i="4"/>
  <c r="C6" i="4"/>
  <c r="I31" i="6"/>
  <c r="G41" i="4" s="1"/>
  <c r="H31" i="6"/>
  <c r="F41" i="4" s="1"/>
  <c r="G31" i="6"/>
  <c r="G23" i="4" s="1"/>
  <c r="F31" i="6"/>
  <c r="F23" i="4" s="1"/>
  <c r="E31" i="6"/>
  <c r="C41" i="4" s="1"/>
  <c r="D31" i="6"/>
  <c r="B41" i="4" s="1"/>
  <c r="C31" i="6"/>
  <c r="B31" i="6"/>
  <c r="B23" i="4" s="1"/>
  <c r="I30" i="6"/>
  <c r="I6" i="4" s="1"/>
  <c r="H30" i="6"/>
  <c r="H6" i="4" s="1"/>
  <c r="G30" i="6"/>
  <c r="G6" i="4" s="1"/>
  <c r="F30" i="6"/>
  <c r="F6" i="4" s="1"/>
  <c r="E30" i="6"/>
  <c r="E6" i="4" s="1"/>
  <c r="D30" i="6"/>
  <c r="D6" i="4" s="1"/>
  <c r="C30" i="6"/>
  <c r="B30" i="6"/>
  <c r="B6" i="4" s="1"/>
  <c r="G40" i="4"/>
  <c r="F40" i="4"/>
  <c r="E40" i="4"/>
  <c r="D40" i="4"/>
  <c r="C40" i="4"/>
  <c r="B40" i="4"/>
  <c r="I22" i="4"/>
  <c r="H22" i="4"/>
  <c r="G22" i="4"/>
  <c r="F22" i="4"/>
  <c r="E22" i="4"/>
  <c r="D22" i="4"/>
  <c r="C22" i="4"/>
  <c r="B22" i="4"/>
  <c r="I5" i="4"/>
  <c r="H5" i="4"/>
  <c r="G5" i="4"/>
  <c r="F5" i="4"/>
  <c r="E5" i="4"/>
  <c r="D5" i="4"/>
  <c r="C5" i="4"/>
  <c r="B5" i="4"/>
  <c r="I31" i="5"/>
  <c r="H31" i="5"/>
  <c r="G31" i="5"/>
  <c r="F31" i="5"/>
  <c r="E31" i="5"/>
  <c r="D31" i="5"/>
  <c r="C31" i="5"/>
  <c r="B31" i="5"/>
  <c r="I30" i="5"/>
  <c r="H30" i="5"/>
  <c r="G30" i="5"/>
  <c r="F30" i="5"/>
  <c r="E30" i="5"/>
  <c r="D30" i="5"/>
  <c r="C30" i="5"/>
  <c r="B30" i="5"/>
  <c r="E39" i="4"/>
  <c r="F39" i="4"/>
  <c r="G39" i="4"/>
  <c r="D39" i="4"/>
  <c r="C39" i="4"/>
  <c r="B39" i="4"/>
  <c r="E21" i="4"/>
  <c r="F21" i="4"/>
  <c r="G21" i="4"/>
  <c r="H21" i="4"/>
  <c r="I21" i="4"/>
  <c r="D21" i="4"/>
  <c r="C21" i="4"/>
  <c r="B21" i="4"/>
  <c r="E4" i="4"/>
  <c r="F4" i="4"/>
  <c r="G4" i="4"/>
  <c r="H4" i="4"/>
  <c r="I4" i="4"/>
  <c r="D4" i="4"/>
  <c r="C4" i="4"/>
  <c r="B4" i="4"/>
  <c r="I31" i="1"/>
  <c r="H31" i="1"/>
  <c r="G31" i="1"/>
  <c r="F31" i="1"/>
  <c r="E31" i="1"/>
  <c r="D31" i="1"/>
  <c r="C31" i="1"/>
  <c r="B31" i="1"/>
  <c r="I30" i="1"/>
  <c r="H30" i="1"/>
  <c r="G30" i="1"/>
  <c r="F30" i="1"/>
  <c r="E30" i="1"/>
  <c r="D30" i="1"/>
  <c r="C30" i="1"/>
  <c r="B30" i="1"/>
  <c r="D47" i="4"/>
  <c r="E47" i="4"/>
  <c r="F47" i="4"/>
  <c r="G47" i="4"/>
  <c r="D48" i="4"/>
  <c r="E48" i="4"/>
  <c r="F48" i="4"/>
  <c r="G48" i="4"/>
  <c r="D49" i="4"/>
  <c r="E49" i="4"/>
  <c r="F49" i="4"/>
  <c r="G49" i="4"/>
  <c r="C47" i="4"/>
  <c r="C48" i="4"/>
  <c r="C49" i="4"/>
  <c r="B49" i="4"/>
  <c r="B48" i="4"/>
  <c r="B47" i="4"/>
  <c r="I46" i="4"/>
  <c r="E38" i="4"/>
  <c r="F38" i="4"/>
  <c r="G38" i="4"/>
  <c r="F31" i="4"/>
  <c r="G31" i="4"/>
  <c r="H31" i="4"/>
  <c r="I31" i="4"/>
  <c r="E31" i="4"/>
  <c r="D31" i="4"/>
  <c r="C31" i="4"/>
  <c r="B31" i="4"/>
  <c r="F30" i="4"/>
  <c r="G30" i="4"/>
  <c r="H30" i="4"/>
  <c r="I30" i="4"/>
  <c r="E30" i="4"/>
  <c r="D30" i="4"/>
  <c r="C30" i="4"/>
  <c r="B30" i="4"/>
  <c r="F29" i="4"/>
  <c r="G29" i="4"/>
  <c r="H29" i="4"/>
  <c r="I29" i="4"/>
  <c r="E29" i="4"/>
  <c r="D29" i="4"/>
  <c r="C29" i="4"/>
  <c r="B29" i="4"/>
  <c r="G33" i="4"/>
  <c r="G20" i="4"/>
  <c r="H20" i="4"/>
  <c r="I20" i="4"/>
  <c r="C20" i="4"/>
  <c r="C31" i="3"/>
  <c r="D31" i="3"/>
  <c r="D20" i="4" s="1"/>
  <c r="E31" i="3"/>
  <c r="E20" i="4" s="1"/>
  <c r="F31" i="3"/>
  <c r="F20" i="4" s="1"/>
  <c r="G31" i="3"/>
  <c r="H31" i="3"/>
  <c r="I31" i="3"/>
  <c r="B31" i="3"/>
  <c r="B20" i="4" s="1"/>
  <c r="C30" i="3"/>
  <c r="C3" i="4" s="1"/>
  <c r="D30" i="3"/>
  <c r="D3" i="4" s="1"/>
  <c r="E30" i="3"/>
  <c r="E3" i="4" s="1"/>
  <c r="F30" i="3"/>
  <c r="F3" i="4" s="1"/>
  <c r="G30" i="3"/>
  <c r="H30" i="3"/>
  <c r="I30" i="3"/>
  <c r="I3" i="4" s="1"/>
  <c r="B30" i="3"/>
  <c r="B3" i="4" s="1"/>
  <c r="H3" i="4"/>
  <c r="E14" i="4"/>
  <c r="F14" i="4"/>
  <c r="G14" i="4"/>
  <c r="H14" i="4"/>
  <c r="I14" i="4"/>
  <c r="D14" i="4"/>
  <c r="C14" i="4"/>
  <c r="B14" i="4"/>
  <c r="E13" i="4"/>
  <c r="F13" i="4"/>
  <c r="G13" i="4"/>
  <c r="H13" i="4"/>
  <c r="I13" i="4"/>
  <c r="D13" i="4"/>
  <c r="C13" i="4"/>
  <c r="B13" i="4"/>
  <c r="E12" i="4"/>
  <c r="F12" i="4"/>
  <c r="G12" i="4"/>
  <c r="H12" i="4"/>
  <c r="I12" i="4"/>
  <c r="D12" i="4"/>
  <c r="C12" i="4"/>
  <c r="B12" i="4"/>
  <c r="G15" i="4"/>
  <c r="G3" i="4"/>
  <c r="I45" i="4" l="1"/>
  <c r="I44" i="4"/>
  <c r="I43" i="4"/>
  <c r="I42" i="4"/>
  <c r="I40" i="4"/>
  <c r="I39" i="4"/>
  <c r="B38" i="4"/>
  <c r="D41" i="4"/>
  <c r="H23" i="4"/>
  <c r="E41" i="4"/>
  <c r="E50" i="4" s="1"/>
  <c r="I23" i="4"/>
  <c r="D23" i="4"/>
  <c r="E23" i="4"/>
  <c r="D38" i="4"/>
  <c r="C38" i="4"/>
  <c r="G32" i="4"/>
  <c r="F32" i="4"/>
  <c r="C32" i="4"/>
  <c r="H51" i="4" s="1"/>
  <c r="B32" i="4"/>
  <c r="H32" i="4"/>
  <c r="F51" i="4" l="1"/>
  <c r="D51" i="4"/>
  <c r="I38" i="4"/>
  <c r="E32" i="4"/>
  <c r="C51" i="4" s="1"/>
  <c r="D32" i="4"/>
  <c r="B51" i="4" s="1"/>
  <c r="I41" i="4"/>
  <c r="I32" i="4"/>
  <c r="G51" i="4" s="1"/>
  <c r="E51" i="4"/>
  <c r="I51" i="4" l="1"/>
</calcChain>
</file>

<file path=xl/sharedStrings.xml><?xml version="1.0" encoding="utf-8"?>
<sst xmlns="http://schemas.openxmlformats.org/spreadsheetml/2006/main" count="386" uniqueCount="234">
  <si>
    <t>Médias Diárias</t>
  </si>
  <si>
    <t>Mês</t>
  </si>
  <si>
    <t>Created</t>
  </si>
  <si>
    <t>Resolved</t>
  </si>
  <si>
    <t>Everton</t>
  </si>
  <si>
    <t>Raphael</t>
  </si>
  <si>
    <t>Andre</t>
  </si>
  <si>
    <t>Não atribuídos</t>
  </si>
  <si>
    <t>Camille</t>
  </si>
  <si>
    <t>Jean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</si>
  <si>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</si>
  <si>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</si>
  <si>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</si>
  <si>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</si>
  <si>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</si>
  <si>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</si>
  <si>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</si>
  <si>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</si>
  <si>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</si>
  <si>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</si>
  <si>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</si>
  <si>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</si>
  <si>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MÉDIA DIÁRIA</t>
  </si>
  <si>
    <t>Somatórias</t>
  </si>
  <si>
    <t>TOTAL NO ANO</t>
  </si>
  <si>
    <t>MÉDIA MENSAL</t>
  </si>
  <si>
    <t>Porcentagem</t>
  </si>
  <si>
    <t>TOTAL</t>
  </si>
  <si>
    <t>Data</t>
  </si>
  <si>
    <t>terça-feira, 2 de janeiro de 2024</t>
  </si>
  <si>
    <t>quarta-feira, 3 de janeiro de 2024</t>
  </si>
  <si>
    <t>quinta-feira, 4 de janeiro de 2024</t>
  </si>
  <si>
    <t>sexta-feira, 5 de janeiro de 2024</t>
  </si>
  <si>
    <t>segunda-feira, 8 de janeiro de 2024</t>
  </si>
  <si>
    <t>terça-feira, 9 de janeiro de 2024</t>
  </si>
  <si>
    <t>quarta-feira, 10 de janeiro de 2024</t>
  </si>
  <si>
    <t>quinta-feira, 11 de janeiro de 2024</t>
  </si>
  <si>
    <t>sexta-feira, 12 de janeiro de 2024</t>
  </si>
  <si>
    <t>sábado, 13 de janeiro de 2024</t>
  </si>
  <si>
    <t>domingo, 14 de janeiro de 2024</t>
  </si>
  <si>
    <t>segunda-feira, 15 de janeiro de 2024</t>
  </si>
  <si>
    <t>terça-feira, 16 de janeiro de 2024</t>
  </si>
  <si>
    <t>quarta-feira, 17 de janeiro de 2024</t>
  </si>
  <si>
    <t>quinta-feira, 18 de janeiro de 2024</t>
  </si>
  <si>
    <t>sexta-feira, 19 de janeiro de 2024</t>
  </si>
  <si>
    <t>sábado, 20 de janeiro de 2024</t>
  </si>
  <si>
    <t>segunda-feira, 22 de janeiro de 2024</t>
  </si>
  <si>
    <t>terça-feira, 23 de janeiro de 2024</t>
  </si>
  <si>
    <t>quarta-feira, 24 de janeiro de 2024</t>
  </si>
  <si>
    <t>quinta-feira, 25 de janeiro de 2024</t>
  </si>
  <si>
    <t>sexta-feira, 26 de janeiro de 2024</t>
  </si>
  <si>
    <t>segunda-feira, 29 de janeiro de 2024</t>
  </si>
  <si>
    <t>terça-feira, 30 de janeiro de 2024</t>
  </si>
  <si>
    <t>quarta-feira, 31 de janeiro de 2024</t>
  </si>
  <si>
    <t>quinta-feira, 1 de fevereiro de 2024</t>
  </si>
  <si>
    <t>sexta-feira, 2 de fevereiro de 2024</t>
  </si>
  <si>
    <t>sábado, 3 de fevereiro de 2024</t>
  </si>
  <si>
    <t>domingo, 4 de fevereiro de 2024</t>
  </si>
  <si>
    <t>segunda-feira, 5 de fevereiro de 2024</t>
  </si>
  <si>
    <t>terça-feira, 6 de fevereiro de 2024</t>
  </si>
  <si>
    <t>quarta-feira, 7 de fevereiro de 2024</t>
  </si>
  <si>
    <t>quinta-feira, 8 de fevereiro de 2024</t>
  </si>
  <si>
    <t>sexta-feira, 9 de fevereiro de 2024</t>
  </si>
  <si>
    <t>segunda-feira, 12 de fevereiro de 2024</t>
  </si>
  <si>
    <t>terça-feira, 13 de fevereiro de 2024</t>
  </si>
  <si>
    <t>quarta-feira, 14 de fevereiro de 2024</t>
  </si>
  <si>
    <t>quinta-feira, 15 de fevereiro de 2024</t>
  </si>
  <si>
    <t>sexta-feira, 16 de fevereiro de 2024</t>
  </si>
  <si>
    <t>segunda-feira, 19 de fevereiro de 2024</t>
  </si>
  <si>
    <t>terça-feira, 20 de fevereiro de 2024</t>
  </si>
  <si>
    <t>quarta-feira, 21 de fevereiro de 2024</t>
  </si>
  <si>
    <t>quinta-feira, 22 de fevereiro de 2024</t>
  </si>
  <si>
    <t>sexta-feira, 23 de fevereiro de 2024</t>
  </si>
  <si>
    <t>segunda-feira, 26 de fevereiro de 2024</t>
  </si>
  <si>
    <t>terça-feira, 27 de fevereiro de 2024</t>
  </si>
  <si>
    <t>quarta-feira, 28 de fevereiro de 2024</t>
  </si>
  <si>
    <t>quinta-feira, 29 de fevereiro de 2024</t>
  </si>
  <si>
    <t>sexta-feira, 1 de março de 2024</t>
  </si>
  <si>
    <t>segunda-feira, 4 de março de 2024</t>
  </si>
  <si>
    <t>terça-feira, 5 de março de 2024</t>
  </si>
  <si>
    <t>quarta-feira, 6 de março de 2024</t>
  </si>
  <si>
    <t>quinta-feira, 7 de março de 2024</t>
  </si>
  <si>
    <t>sexta-feira, 8 de março de 2024</t>
  </si>
  <si>
    <t>sábado, 9 de março de 2024</t>
  </si>
  <si>
    <t>segunda-feira, 11 de março de 2024</t>
  </si>
  <si>
    <t>terça-feira, 12 de março de 2024</t>
  </si>
  <si>
    <t>quarta-feira, 13 de março de 2024</t>
  </si>
  <si>
    <t>quinta-feira, 14 de março de 2024</t>
  </si>
  <si>
    <t>sexta-feira, 15 de março de 2024</t>
  </si>
  <si>
    <t>segunda-feira, 18 de março de 2024</t>
  </si>
  <si>
    <t>terça-feira, 19 de março de 2024</t>
  </si>
  <si>
    <t>quarta-feira, 20 de março de 2024</t>
  </si>
  <si>
    <t>quinta-feira, 21 de março de 2024</t>
  </si>
  <si>
    <t>sexta-feira, 22 de março de 2024</t>
  </si>
  <si>
    <t>segunda-feira, 25 de março de 2024</t>
  </si>
  <si>
    <t>terça-feira, 26 de março de 2024</t>
  </si>
  <si>
    <t>quarta-feira, 27 de março de 2024</t>
  </si>
  <si>
    <t>quinta-feira, 28 de março de 2024</t>
  </si>
  <si>
    <t>sexta-feira, 29 de março de 2024</t>
  </si>
  <si>
    <t>segunda-feira, 1 de abril de 2024</t>
  </si>
  <si>
    <t>terça-feira, 2 de abril de 2024</t>
  </si>
  <si>
    <t>quarta-feira, 3 de abril de 2024</t>
  </si>
  <si>
    <t>quinta-feira, 4 de abril de 2024</t>
  </si>
  <si>
    <t>sexta-feira, 5 de abril de 2024</t>
  </si>
  <si>
    <t>segunda-feira, 8 de abril de 2024</t>
  </si>
  <si>
    <t>terça-feira, 9 de abril de 2024</t>
  </si>
  <si>
    <t>quarta-feira, 10 de abril de 2024</t>
  </si>
  <si>
    <t>quinta-feira, 11 de abril de 2024</t>
  </si>
  <si>
    <t>sexta-feira, 12 de abril de 2024</t>
  </si>
  <si>
    <t>segunda-feira, 15 de abril de 2024</t>
  </si>
  <si>
    <t>terça-feira, 16 de abril de 2024</t>
  </si>
  <si>
    <t>quarta-feira, 17 de abril de 2024</t>
  </si>
  <si>
    <t>quinta-feira, 18 de abril de 2024</t>
  </si>
  <si>
    <t>sexta-feira, 19 de abril de 2024</t>
  </si>
  <si>
    <t>segunda-feira, 22 de abril de 2024</t>
  </si>
  <si>
    <t>terça-feira, 23 de abril de 2024</t>
  </si>
  <si>
    <t>quarta-feira, 24 de abril de 2024</t>
  </si>
  <si>
    <t>quinta-feira, 25 de abril de 2024</t>
  </si>
  <si>
    <t>sexta-feira, 26 de abril de 2024</t>
  </si>
  <si>
    <t>segunda-feira, 29 de abril de 2024</t>
  </si>
  <si>
    <t>terça-feira, 30 de abril de 2024</t>
  </si>
  <si>
    <t>quinta-feira, 2 de maio de 2024</t>
  </si>
  <si>
    <t>sexta-feira, 3 de maio de 2024</t>
  </si>
  <si>
    <t>segunda-feira, 6 de maio de 2024</t>
  </si>
  <si>
    <t>terça-feira, 7 de maio de 2024</t>
  </si>
  <si>
    <t>quarta-feira, 8 de maio de 2024</t>
  </si>
  <si>
    <t>quinta-feira, 9 de maio de 2024</t>
  </si>
  <si>
    <t>sexta-feira, 10 de maio de 2024</t>
  </si>
  <si>
    <t>segunda-feira, 13 de maio de 2024</t>
  </si>
  <si>
    <t>terça-feira, 14 de maio de 2024</t>
  </si>
  <si>
    <t>quarta-feira, 15 de maio de 2024</t>
  </si>
  <si>
    <t>quinta-feira, 16 de maio de 2024</t>
  </si>
  <si>
    <t>sexta-feira, 17 de maio de 2024</t>
  </si>
  <si>
    <t>segunda-feira, 20 de maio de 2024</t>
  </si>
  <si>
    <t>terça-feira, 21 de maio de 2024</t>
  </si>
  <si>
    <t>quarta-feira, 22 de maio de 2024</t>
  </si>
  <si>
    <t>quinta-feira, 23 de maio de 2024</t>
  </si>
  <si>
    <t>sexta-feira, 24 de maio de 2024</t>
  </si>
  <si>
    <t>segunda-feira, 27 de maio de 2024</t>
  </si>
  <si>
    <t>terça-feira, 28 de maio de 2024</t>
  </si>
  <si>
    <t>quarta-feira, 29 de maio de 2024</t>
  </si>
  <si>
    <t>sexta-feira, 31 de maio de 2024</t>
  </si>
  <si>
    <t>segunda-feira, 3 de junho de 2024</t>
  </si>
  <si>
    <t>terça-feira, 4 de junho de 2024</t>
  </si>
  <si>
    <t>quarta-feira, 5 de junho de 2024</t>
  </si>
  <si>
    <t>quinta-feira, 6 de junho de 2024</t>
  </si>
  <si>
    <t>sexta-feira, 7 de junho de 2024</t>
  </si>
  <si>
    <t>segunda-feira, 10 de junho de 2024</t>
  </si>
  <si>
    <t>terça-feira, 11 de junho de 2024</t>
  </si>
  <si>
    <t>quarta-feira, 12 de junho de 2024</t>
  </si>
  <si>
    <t>quinta-feira, 13 de junho de 2024</t>
  </si>
  <si>
    <t>sexta-feira, 14 de junho de 2024</t>
  </si>
  <si>
    <t>segunda-feira, 17 de junho de 2024</t>
  </si>
  <si>
    <t>terça-feira, 18 de junho de 2024</t>
  </si>
  <si>
    <t>quarta-feira, 19 de junho de 2024</t>
  </si>
  <si>
    <t>quinta-feira, 20 de junho de 2024</t>
  </si>
  <si>
    <t>sexta-feira, 21 de junho de 2024</t>
  </si>
  <si>
    <t>segunda-feira, 24 de junho de 2024</t>
  </si>
  <si>
    <t>terça-feira, 25 de junho de 2024</t>
  </si>
  <si>
    <t>quarta-feira, 26 de junho de 2024</t>
  </si>
  <si>
    <t>quinta-feira, 27 de junho de 2024</t>
  </si>
  <si>
    <t>sexta-feira, 28 de junho de 2024</t>
  </si>
  <si>
    <t>Criados</t>
  </si>
  <si>
    <t>Resolvidos</t>
  </si>
  <si>
    <t>Reynaldo</t>
  </si>
  <si>
    <t>segunda-feira, 1 de julho de 2024</t>
  </si>
  <si>
    <t>terça-feira, 2 de julho de 2024</t>
  </si>
  <si>
    <t>quarta-feira, 3 de julho de 2024</t>
  </si>
  <si>
    <t>quinta-feira, 4 de julho de 2024</t>
  </si>
  <si>
    <t>sexta-feira, 5 de julho de 2024</t>
  </si>
  <si>
    <t>segunda-feira, 8 de julho de 2024</t>
  </si>
  <si>
    <t>terça-feira, 9 de julho de 2024</t>
  </si>
  <si>
    <t>quarta-feira, 10 de julho de 2024</t>
  </si>
  <si>
    <t>quinta-feira, 11 de julho de 2024</t>
  </si>
  <si>
    <t>sexta-feira, 12 de julho de 2024</t>
  </si>
  <si>
    <t>segunda-feira, 15 de julho de 2024</t>
  </si>
  <si>
    <t>terça-feira, 16 de julho de 2024</t>
  </si>
  <si>
    <t>quarta-feira, 17 de julho de 2024</t>
  </si>
  <si>
    <t>quinta-feira, 18 de julho de 2024</t>
  </si>
  <si>
    <t>sexta-feira, 19 de julho de 2024</t>
  </si>
  <si>
    <t>segunda-feira, 22 de julho de 2024</t>
  </si>
  <si>
    <t>terça-feira, 23 de julho de 2024</t>
  </si>
  <si>
    <t>quarta-feira, 24 de julho de 2024</t>
  </si>
  <si>
    <t>quinta-feira, 25 de julho de 2024</t>
  </si>
  <si>
    <t>sexta-feira, 26 de julho de 2024</t>
  </si>
  <si>
    <t>segunda-feira, 29 de julho de 2024</t>
  </si>
  <si>
    <t>terça-feira, 30 de julho de 2024</t>
  </si>
  <si>
    <t>quarta-feira, 31 de julho de 2024</t>
  </si>
  <si>
    <t>quinta-feira, 1 de agosto de 2024</t>
  </si>
  <si>
    <t>sexta-feira, 2 de agosto de 2024</t>
  </si>
  <si>
    <t>sábado, 3 de agosto de 2024</t>
  </si>
  <si>
    <t>segunda-feira, 5 de agosto de 2024</t>
  </si>
  <si>
    <t>terça-feira, 6 de agosto de 2024</t>
  </si>
  <si>
    <t>quarta-feira, 7 de agosto de 2024</t>
  </si>
  <si>
    <t>quinta-feira, 8 de agosto de 2024</t>
  </si>
  <si>
    <t>sexta-feira, 9 de agosto de 2024</t>
  </si>
  <si>
    <t>segunda-feira, 12 de agosto de 2024</t>
  </si>
  <si>
    <t>terça-feira, 13 de agosto de 2024</t>
  </si>
  <si>
    <t>quarta-feira, 14 de agosto de 2024</t>
  </si>
  <si>
    <t>quinta-feira, 15 de agosto de 2024</t>
  </si>
  <si>
    <t>sexta-feira, 16 de agosto de 2024</t>
  </si>
  <si>
    <t>segunda-feira, 19 de agosto de 2024</t>
  </si>
  <si>
    <t>terça-feira, 20 de agosto de 2024</t>
  </si>
  <si>
    <t>quarta-feira, 21 de agosto de 2024</t>
  </si>
  <si>
    <t>quinta-feira, 22 de agosto de 2024</t>
  </si>
  <si>
    <t>sexta-feira, 23 de agosto de 2024</t>
  </si>
  <si>
    <t>sábado, 24 de agosto de 2024</t>
  </si>
  <si>
    <t>segunda-feira, 26 de agosto de 2024</t>
  </si>
  <si>
    <t>terça-feira, 27 de agosto de 2024</t>
  </si>
  <si>
    <t>quarta-feira, 28 de agosto de 2024</t>
  </si>
  <si>
    <t>quinta-feira, 29 de agosto de 2024</t>
  </si>
  <si>
    <t>sexta-feira, 30 de agosto de 2024</t>
  </si>
  <si>
    <t>segunda-feira, 2 de setembro de 2024</t>
  </si>
  <si>
    <t>terça-feira, 3 de setembro de 2024</t>
  </si>
  <si>
    <t>quarta-feira, 4 de setembro de 2024</t>
  </si>
  <si>
    <t>quinta-feira, 5 de setembro de 2024</t>
  </si>
  <si>
    <t>sexta-feira, 6 de setembro de 2024</t>
  </si>
  <si>
    <t>sábado, 7 de setembro de 2024</t>
  </si>
  <si>
    <t>segunda-feira, 9 de setembro de 2024</t>
  </si>
  <si>
    <t>terça-feira, 10 de setembro de 2024</t>
  </si>
  <si>
    <t>quarta-feira, 11 de setembro de 2024</t>
  </si>
  <si>
    <t>quinta-feira, 12 de setembro de 2024</t>
  </si>
  <si>
    <t>sexta-feira, 13 de setembro de 2024</t>
  </si>
  <si>
    <t>segunda-feira, 16 de setembro de 2024</t>
  </si>
  <si>
    <t>terça-feira, 17 de setembro de 2024</t>
  </si>
  <si>
    <t>quarta-feira, 18 de setembro de 2024</t>
  </si>
  <si>
    <t>quinta-feira, 19 de setembro de 2024</t>
  </si>
  <si>
    <t>sexta-feira, 20 de setembro de 2024</t>
  </si>
  <si>
    <t>segunda-feira, 23 de setembro de 2024</t>
  </si>
  <si>
    <t>terça-feira, 24 de setembro de 2024</t>
  </si>
  <si>
    <t>quarta-feira, 25 de setembro de 2024</t>
  </si>
  <si>
    <t>quinta-feira, 26 de setembro de 2024</t>
  </si>
  <si>
    <t>sexta-feira, 27 de setembro de 2024</t>
  </si>
  <si>
    <t>segunda-feira, 30 de setembro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</si>
</sst>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b/>
      <sz val="14"/>
      <color theme="9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Segoe UI"/>
      <family val="2"/>
    </font>
    <font>
      <sz val="9"/>
      <name val="Segoe UI"/>
      <family val="2"/>
    </font>
    <font>
      <sz val="11"/>
      <color theme="1"/>
      <name val="Segoe UI"/>
      <family val="2"/>
    </font>
    <font>
      <b/>
      <sz val="1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2" fontId="1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3" fillId="2" borderId="0" xfId="0" applyFont="1" applyFill="1"/>
    <xf numFmtId="0" fontId="15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2" fontId="1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12" fillId="2" borderId="0" xfId="0" applyFont="1" applyFill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0" fontId="4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8" fillId="2" borderId="1" xfId="0" applyFont="1" applyFill="1" applyBorder="1" applyAlignment="1">
      <alignment horizontal="center" vertical="top" wrapText="1"/>
    </xf>
    <xf numFmtId="0" fontId="16" fillId="2" borderId="1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center" vertical="top" wrapText="1"/>
    </xf>
    <xf numFmtId="14" fontId="0" fillId="2" borderId="0" xfId="0" applyNumberFormat="1" applyFill="1"/>
    <xf numFmtId="14" fontId="18" fillId="2" borderId="1" xfId="0" applyNumberFormat="1" applyFont="1" applyFill="1" applyBorder="1" applyAlignment="1">
      <alignment horizontal="center" vertical="top" wrapText="1"/>
    </xf>
    <xf numFmtId="14" fontId="15" fillId="2" borderId="1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2" fontId="0" fillId="2" borderId="6" xfId="0" applyNumberForma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/>
    </xf>
    <xf numFmtId="2" fontId="13" fillId="2" borderId="15" xfId="0" applyNumberFormat="1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1" fontId="0" fillId="2" borderId="6" xfId="0" applyNumberForma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2" fontId="13" fillId="2" borderId="30" xfId="0" applyNumberFormat="1" applyFont="1" applyFill="1" applyBorder="1" applyAlignment="1">
      <alignment horizontal="center" vertical="center"/>
    </xf>
    <xf numFmtId="2" fontId="13" fillId="2" borderId="31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top" wrapText="1"/>
    </xf>
    <xf numFmtId="0" fontId="14" fillId="2" borderId="9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/>
    </xf>
    <xf numFmtId="2" fontId="14" fillId="2" borderId="24" xfId="0" applyNumberFormat="1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10" fontId="0" fillId="2" borderId="1" xfId="0" applyNumberFormat="1" applyFill="1" applyBorder="1" applyAlignment="1">
      <alignment horizontal="center" vertical="center"/>
    </xf>
    <xf numFmtId="10" fontId="14" fillId="2" borderId="7" xfId="0" applyNumberFormat="1" applyFont="1" applyFill="1" applyBorder="1" applyAlignment="1">
      <alignment horizontal="center" vertical="center"/>
    </xf>
    <xf numFmtId="10" fontId="0" fillId="2" borderId="3" xfId="0" applyNumberFormat="1" applyFill="1" applyBorder="1" applyAlignment="1">
      <alignment horizontal="center" vertical="center"/>
    </xf>
    <xf numFmtId="10" fontId="14" fillId="2" borderId="13" xfId="0" applyNumberFormat="1" applyFont="1" applyFill="1" applyBorder="1" applyAlignment="1">
      <alignment horizontal="center" vertical="center"/>
    </xf>
    <xf numFmtId="10" fontId="13" fillId="2" borderId="15" xfId="0" applyNumberFormat="1" applyFont="1" applyFill="1" applyBorder="1" applyAlignment="1">
      <alignment horizontal="center" vertical="center"/>
    </xf>
    <xf numFmtId="10" fontId="11" fillId="2" borderId="15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center" wrapText="1"/>
    </xf>
    <xf numFmtId="10" fontId="14" fillId="2" borderId="15" xfId="0" applyNumberFormat="1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Médias Diárias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Resumo!$A$3</c:f>
              <c:strCache>
                <c:ptCount val="1"/>
                <c:pt idx="0">
                  <c:v>Janeiro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Resumo!$B$3:$I$3</c:f>
              <c:numCache>
                <c:formatCode>0.00</c:formatCode>
                <c:ptCount val="8"/>
                <c:pt idx="0">
                  <c:v>10.32</c:v>
                </c:pt>
                <c:pt idx="1">
                  <c:v>9.8000000000000007</c:v>
                </c:pt>
                <c:pt idx="2">
                  <c:v>1.24</c:v>
                </c:pt>
                <c:pt idx="3">
                  <c:v>0.92</c:v>
                </c:pt>
                <c:pt idx="4">
                  <c:v>2.96</c:v>
                </c:pt>
                <c:pt idx="5">
                  <c:v>0</c:v>
                </c:pt>
                <c:pt idx="6">
                  <c:v>2.64</c:v>
                </c:pt>
                <c:pt idx="7">
                  <c:v>2.04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2-49D8-9AD2-F1DE84205734}"/>
            </c:ext>
          </c:extLst>
        </c:ser>
        <c:ser>
          <c:idx val="1"/>
          <c:order val="1"/>
          <c:tx>
            <c:strRef>
              <c:f>Resumo!$A$4</c:f>
              <c:strCache>
                <c:ptCount val="1"/>
                <c:pt idx="0">
                  <c:v>Fevereiro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Resumo!$B$4:$I$4</c:f>
              <c:numCache>
                <c:formatCode>0.00</c:formatCode>
                <c:ptCount val="8"/>
                <c:pt idx="0">
                  <c:v>7.8695652173913047</c:v>
                </c:pt>
                <c:pt idx="1">
                  <c:v>7.5652173913043477</c:v>
                </c:pt>
                <c:pt idx="2">
                  <c:v>0.69565217391304346</c:v>
                </c:pt>
                <c:pt idx="3">
                  <c:v>1.2608695652173914</c:v>
                </c:pt>
                <c:pt idx="4">
                  <c:v>2.1304347826086958</c:v>
                </c:pt>
                <c:pt idx="5">
                  <c:v>0</c:v>
                </c:pt>
                <c:pt idx="6">
                  <c:v>2.1304347826086958</c:v>
                </c:pt>
                <c:pt idx="7">
                  <c:v>1.3478260869565217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92-49D8-9AD2-F1DE84205734}"/>
            </c:ext>
          </c:extLst>
        </c:ser>
        <c:ser>
          <c:idx val="2"/>
          <c:order val="2"/>
          <c:tx>
            <c:strRef>
              <c:f>Resumo!$A$5</c:f>
              <c:strCache>
                <c:ptCount val="1"/>
                <c:pt idx="0">
                  <c:v>Março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Resumo!$B$5:$I$5</c:f>
              <c:numCache>
                <c:formatCode>0.00</c:formatCode>
                <c:ptCount val="8"/>
                <c:pt idx="0">
                  <c:v>9.7727272727272734</c:v>
                </c:pt>
                <c:pt idx="1">
                  <c:v>10.409090909090908</c:v>
                </c:pt>
                <c:pt idx="2">
                  <c:v>1.5454545454545454</c:v>
                </c:pt>
                <c:pt idx="3">
                  <c:v>1.3636363636363635</c:v>
                </c:pt>
                <c:pt idx="4">
                  <c:v>2.6818181818181817</c:v>
                </c:pt>
                <c:pt idx="5">
                  <c:v>0</c:v>
                </c:pt>
                <c:pt idx="6">
                  <c:v>2.6363636363636362</c:v>
                </c:pt>
                <c:pt idx="7">
                  <c:v>2.1818181818181817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92-49D8-9AD2-F1DE84205734}"/>
            </c:ext>
          </c:extLst>
        </c:ser>
        <c:ser>
          <c:idx val="3"/>
          <c:order val="3"/>
          <c:tx>
            <c:strRef>
              <c:f>Resumo!$A$6</c:f>
              <c:strCache>
                <c:ptCount val="1"/>
                <c:pt idx="0">
                  <c:v>Abril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Resumo!$B$6:$I$6</c:f>
              <c:numCache>
                <c:formatCode>0.00</c:formatCode>
                <c:ptCount val="8"/>
                <c:pt idx="0">
                  <c:v>11.045454545454545</c:v>
                </c:pt>
                <c:pt idx="1">
                  <c:v>9.6363636363636367</c:v>
                </c:pt>
                <c:pt idx="2">
                  <c:v>1.4545454545454546</c:v>
                </c:pt>
                <c:pt idx="3">
                  <c:v>1.3636363636363635</c:v>
                </c:pt>
                <c:pt idx="4">
                  <c:v>2.5454545454545454</c:v>
                </c:pt>
                <c:pt idx="5">
                  <c:v>0</c:v>
                </c:pt>
                <c:pt idx="6">
                  <c:v>2.3181818181818183</c:v>
                </c:pt>
                <c:pt idx="7">
                  <c:v>1.9545454545454546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92-49D8-9AD2-F1DE84205734}"/>
            </c:ext>
          </c:extLst>
        </c:ser>
        <c:ser>
          <c:idx val="4"/>
          <c:order val="4"/>
          <c:tx>
            <c:strRef>
              <c:f>Resumo!$A$7</c:f>
              <c:strCache>
                <c:ptCount val="1"/>
                <c:pt idx="0">
                  <c:v>Maio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Resumo!$B$7:$I$7</c:f>
              <c:numCache>
                <c:formatCode>0.00</c:formatCode>
                <c:ptCount val="8"/>
                <c:pt idx="0">
                  <c:v>6.333333333333333</c:v>
                </c:pt>
                <c:pt idx="1">
                  <c:v>6.9047619047619051</c:v>
                </c:pt>
                <c:pt idx="2">
                  <c:v>0.8571428571428571</c:v>
                </c:pt>
                <c:pt idx="3">
                  <c:v>1.0476190476190477</c:v>
                </c:pt>
                <c:pt idx="4">
                  <c:v>2.7142857142857144</c:v>
                </c:pt>
                <c:pt idx="5">
                  <c:v>0</c:v>
                </c:pt>
                <c:pt idx="6">
                  <c:v>0.80952380952380953</c:v>
                </c:pt>
                <c:pt idx="7">
                  <c:v>1.4761904761904763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92-49D8-9AD2-F1DE84205734}"/>
            </c:ext>
          </c:extLst>
        </c:ser>
        <c:ser>
          <c:idx val="5"/>
          <c:order val="5"/>
          <c:tx>
            <c:strRef>
              <c:f>Resumo!$A$8</c:f>
              <c:strCache>
                <c:ptCount val="1"/>
                <c:pt idx="0">
                  <c:v>Junho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Resumo!$B$8:$I$8</c:f>
              <c:numCache>
                <c:formatCode>0.00</c:formatCode>
                <c:ptCount val="8"/>
                <c:pt idx="0">
                  <c:v>10.35</c:v>
                </c:pt>
                <c:pt idx="1">
                  <c:v>9.85</c:v>
                </c:pt>
                <c:pt idx="2">
                  <c:v>1.8</c:v>
                </c:pt>
                <c:pt idx="3">
                  <c:v>1.1499999999999999</c:v>
                </c:pt>
                <c:pt idx="4">
                  <c:v>4</c:v>
                </c:pt>
                <c:pt idx="5">
                  <c:v>0</c:v>
                </c:pt>
                <c:pt idx="6">
                  <c:v>0.7</c:v>
                </c:pt>
                <c:pt idx="7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92-49D8-9AD2-F1DE84205734}"/>
            </c:ext>
          </c:extLst>
        </c:ser>
        <c:ser>
          <c:idx val="6"/>
          <c:order val="6"/>
          <c:tx>
            <c:strRef>
              <c:f>Resumo!$A$9</c:f>
              <c:strCache>
                <c:ptCount val="1"/>
                <c:pt idx="0">
                  <c:v>Julho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Resumo!$B$9:$I$9</c:f>
              <c:numCache>
                <c:formatCode>0.00</c:formatCode>
                <c:ptCount val="8"/>
                <c:pt idx="0">
                  <c:v>9.2173913043478262</c:v>
                </c:pt>
                <c:pt idx="1">
                  <c:v>9.0434782608695645</c:v>
                </c:pt>
                <c:pt idx="2">
                  <c:v>2.2173913043478262</c:v>
                </c:pt>
                <c:pt idx="3">
                  <c:v>1.173913043478261</c:v>
                </c:pt>
                <c:pt idx="4">
                  <c:v>3.3043478260869565</c:v>
                </c:pt>
                <c:pt idx="5">
                  <c:v>0</c:v>
                </c:pt>
                <c:pt idx="6">
                  <c:v>0.82608695652173914</c:v>
                </c:pt>
                <c:pt idx="7">
                  <c:v>1.4347826086956521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92-49D8-9AD2-F1DE84205734}"/>
            </c:ext>
          </c:extLst>
        </c:ser>
        <c:ser>
          <c:idx val="7"/>
          <c:order val="7"/>
          <c:tx>
            <c:strRef>
              <c:f>Resumo!$A$10</c:f>
              <c:strCache>
                <c:ptCount val="1"/>
                <c:pt idx="0">
                  <c:v>Agosto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Resumo!$B$10:$I$10</c:f>
              <c:numCache>
                <c:formatCode>0.00</c:formatCode>
                <c:ptCount val="8"/>
                <c:pt idx="0">
                  <c:v>9.25</c:v>
                </c:pt>
                <c:pt idx="1">
                  <c:v>9.5</c:v>
                </c:pt>
                <c:pt idx="2">
                  <c:v>1.4583333333333333</c:v>
                </c:pt>
                <c:pt idx="3">
                  <c:v>1.2083333333333333</c:v>
                </c:pt>
                <c:pt idx="4">
                  <c:v>3.125</c:v>
                </c:pt>
                <c:pt idx="5">
                  <c:v>0</c:v>
                </c:pt>
                <c:pt idx="6">
                  <c:v>2</c:v>
                </c:pt>
                <c:pt idx="7">
                  <c:v>1.7083333333333333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92-49D8-9AD2-F1DE84205734}"/>
            </c:ext>
          </c:extLst>
        </c:ser>
        <c:ser>
          <c:idx val="8"/>
          <c:order val="8"/>
          <c:tx>
            <c:strRef>
              <c:f>Resumo!$A$11</c:f>
              <c:strCache>
                <c:ptCount val="1"/>
                <c:pt idx="0">
                  <c:v>Setembro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Resumo!$B$11:$I$11</c:f>
              <c:numCache>
                <c:formatCode>0.00</c:formatCode>
                <c:ptCount val="8"/>
                <c:pt idx="0">
                  <c:v>7.9090909090909092</c:v>
                </c:pt>
                <c:pt idx="1">
                  <c:v>8.2727272727272734</c:v>
                </c:pt>
                <c:pt idx="2">
                  <c:v>0.95454545454545459</c:v>
                </c:pt>
                <c:pt idx="3">
                  <c:v>1.3181818181818181</c:v>
                </c:pt>
                <c:pt idx="4">
                  <c:v>3.8</c:v>
                </c:pt>
                <c:pt idx="5">
                  <c:v>0</c:v>
                </c:pt>
                <c:pt idx="6">
                  <c:v>0.72727272727272729</c:v>
                </c:pt>
                <c:pt idx="7">
                  <c:v>3.5454545454545454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E-4BA4-916B-36C1E49F6015}"/>
            </c:ext>
          </c:extLst>
        </c:ser>
        <c:ser>
          <c:idx val="9"/>
          <c:order val="9"/>
          <c:tx>
            <c:strRef>
              <c:f>Resumo!$A$12</c:f>
              <c:strCache>
                <c:ptCount val="1"/>
                <c:pt idx="0">
                  <c:v>Outubro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Resumo!$B$12:$I$12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4E-4BA4-916B-36C1E49F6015}"/>
            </c:ext>
          </c:extLst>
        </c:ser>
        <c:ser>
          <c:idx val="10"/>
          <c:order val="10"/>
          <c:tx>
            <c:strRef>
              <c:f>Resumo!$A$13</c:f>
              <c:strCache>
                <c:ptCount val="1"/>
                <c:pt idx="0">
                  <c:v>Novembro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Resumo!$B$13:$I$13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4E-4BA4-916B-36C1E49F6015}"/>
            </c:ext>
          </c:extLst>
        </c:ser>
        <c:ser>
          <c:idx val="11"/>
          <c:order val="11"/>
          <c:tx>
            <c:strRef>
              <c:f>Resumo!$A$14</c:f>
              <c:strCache>
                <c:ptCount val="1"/>
                <c:pt idx="0">
                  <c:v>Dezembro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Resumo!$B$1:$J$2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Resumo!$B$14:$I$14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4E-4BA4-916B-36C1E49F6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4554928"/>
        <c:axId val="1610805536"/>
      </c:barChart>
      <c:catAx>
        <c:axId val="20745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805536"/>
        <c:crosses val="autoZero"/>
        <c:auto val="1"/>
        <c:lblAlgn val="ctr"/>
        <c:lblOffset val="100"/>
        <c:noMultiLvlLbl val="0"/>
      </c:catAx>
      <c:valAx>
        <c:axId val="16108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455492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Somatórias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Resumo!$A$20</c:f>
              <c:strCache>
                <c:ptCount val="1"/>
                <c:pt idx="0">
                  <c:v>Janeiro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Resumo!$B$20:$I$20</c:f>
              <c:numCache>
                <c:formatCode>General</c:formatCode>
                <c:ptCount val="8"/>
                <c:pt idx="0">
                  <c:v>258</c:v>
                </c:pt>
                <c:pt idx="1">
                  <c:v>245</c:v>
                </c:pt>
                <c:pt idx="2">
                  <c:v>31</c:v>
                </c:pt>
                <c:pt idx="3">
                  <c:v>23</c:v>
                </c:pt>
                <c:pt idx="4">
                  <c:v>74</c:v>
                </c:pt>
                <c:pt idx="5">
                  <c:v>0</c:v>
                </c:pt>
                <c:pt idx="6">
                  <c:v>66</c:v>
                </c:pt>
                <c:pt idx="7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6-4626-89AA-59B6AC729920}"/>
            </c:ext>
          </c:extLst>
        </c:ser>
        <c:ser>
          <c:idx val="1"/>
          <c:order val="1"/>
          <c:tx>
            <c:strRef>
              <c:f>Resumo!$A$21</c:f>
              <c:strCache>
                <c:ptCount val="1"/>
                <c:pt idx="0">
                  <c:v>Fevereiro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Resumo!$B$21:$I$21</c:f>
              <c:numCache>
                <c:formatCode>General</c:formatCode>
                <c:ptCount val="8"/>
                <c:pt idx="0">
                  <c:v>181</c:v>
                </c:pt>
                <c:pt idx="1">
                  <c:v>174</c:v>
                </c:pt>
                <c:pt idx="2">
                  <c:v>16</c:v>
                </c:pt>
                <c:pt idx="3">
                  <c:v>29</c:v>
                </c:pt>
                <c:pt idx="4">
                  <c:v>49</c:v>
                </c:pt>
                <c:pt idx="5">
                  <c:v>0</c:v>
                </c:pt>
                <c:pt idx="6">
                  <c:v>49</c:v>
                </c:pt>
                <c:pt idx="7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6-4626-89AA-59B6AC729920}"/>
            </c:ext>
          </c:extLst>
        </c:ser>
        <c:ser>
          <c:idx val="2"/>
          <c:order val="2"/>
          <c:tx>
            <c:strRef>
              <c:f>Resumo!$A$22</c:f>
              <c:strCache>
                <c:ptCount val="1"/>
                <c:pt idx="0">
                  <c:v>Março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Resumo!$B$22:$I$22</c:f>
              <c:numCache>
                <c:formatCode>General</c:formatCode>
                <c:ptCount val="8"/>
                <c:pt idx="0">
                  <c:v>215</c:v>
                </c:pt>
                <c:pt idx="1">
                  <c:v>229</c:v>
                </c:pt>
                <c:pt idx="2">
                  <c:v>34</c:v>
                </c:pt>
                <c:pt idx="3">
                  <c:v>30</c:v>
                </c:pt>
                <c:pt idx="4">
                  <c:v>59</c:v>
                </c:pt>
                <c:pt idx="5">
                  <c:v>0</c:v>
                </c:pt>
                <c:pt idx="6">
                  <c:v>58</c:v>
                </c:pt>
                <c:pt idx="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F6-4626-89AA-59B6AC729920}"/>
            </c:ext>
          </c:extLst>
        </c:ser>
        <c:ser>
          <c:idx val="3"/>
          <c:order val="3"/>
          <c:tx>
            <c:strRef>
              <c:f>Resumo!$A$23</c:f>
              <c:strCache>
                <c:ptCount val="1"/>
                <c:pt idx="0">
                  <c:v>Abril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Resumo!$B$23:$I$23</c:f>
              <c:numCache>
                <c:formatCode>0</c:formatCode>
                <c:ptCount val="8"/>
                <c:pt idx="0">
                  <c:v>243</c:v>
                </c:pt>
                <c:pt idx="1">
                  <c:v>212</c:v>
                </c:pt>
                <c:pt idx="2">
                  <c:v>32</c:v>
                </c:pt>
                <c:pt idx="3">
                  <c:v>30</c:v>
                </c:pt>
                <c:pt idx="4">
                  <c:v>56</c:v>
                </c:pt>
                <c:pt idx="5">
                  <c:v>0</c:v>
                </c:pt>
                <c:pt idx="6">
                  <c:v>51</c:v>
                </c:pt>
                <c:pt idx="7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F6-4626-89AA-59B6AC729920}"/>
            </c:ext>
          </c:extLst>
        </c:ser>
        <c:ser>
          <c:idx val="4"/>
          <c:order val="4"/>
          <c:tx>
            <c:strRef>
              <c:f>Resumo!$A$24</c:f>
              <c:strCache>
                <c:ptCount val="1"/>
                <c:pt idx="0">
                  <c:v>Maio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Resumo!$B$24:$I$24</c:f>
              <c:numCache>
                <c:formatCode>0</c:formatCode>
                <c:ptCount val="8"/>
                <c:pt idx="0">
                  <c:v>133</c:v>
                </c:pt>
                <c:pt idx="1">
                  <c:v>145</c:v>
                </c:pt>
                <c:pt idx="2">
                  <c:v>18</c:v>
                </c:pt>
                <c:pt idx="3">
                  <c:v>22</c:v>
                </c:pt>
                <c:pt idx="4">
                  <c:v>57</c:v>
                </c:pt>
                <c:pt idx="5">
                  <c:v>0</c:v>
                </c:pt>
                <c:pt idx="6">
                  <c:v>17</c:v>
                </c:pt>
                <c:pt idx="7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F6-4626-89AA-59B6AC729920}"/>
            </c:ext>
          </c:extLst>
        </c:ser>
        <c:ser>
          <c:idx val="5"/>
          <c:order val="5"/>
          <c:tx>
            <c:strRef>
              <c:f>Resumo!$A$25</c:f>
              <c:strCache>
                <c:ptCount val="1"/>
                <c:pt idx="0">
                  <c:v>Junho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Resumo!$B$25:$I$25</c:f>
              <c:numCache>
                <c:formatCode>0</c:formatCode>
                <c:ptCount val="8"/>
                <c:pt idx="0">
                  <c:v>207</c:v>
                </c:pt>
                <c:pt idx="1">
                  <c:v>197</c:v>
                </c:pt>
                <c:pt idx="2">
                  <c:v>36</c:v>
                </c:pt>
                <c:pt idx="3">
                  <c:v>23</c:v>
                </c:pt>
                <c:pt idx="4">
                  <c:v>80</c:v>
                </c:pt>
                <c:pt idx="5">
                  <c:v>0</c:v>
                </c:pt>
                <c:pt idx="6">
                  <c:v>14</c:v>
                </c:pt>
                <c:pt idx="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F6-4626-89AA-59B6AC729920}"/>
            </c:ext>
          </c:extLst>
        </c:ser>
        <c:ser>
          <c:idx val="6"/>
          <c:order val="6"/>
          <c:tx>
            <c:strRef>
              <c:f>Resumo!$A$26</c:f>
              <c:strCache>
                <c:ptCount val="1"/>
                <c:pt idx="0">
                  <c:v>Julho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Resumo!$B$26:$I$26</c:f>
              <c:numCache>
                <c:formatCode>0</c:formatCode>
                <c:ptCount val="8"/>
                <c:pt idx="0">
                  <c:v>212</c:v>
                </c:pt>
                <c:pt idx="1">
                  <c:v>208</c:v>
                </c:pt>
                <c:pt idx="2">
                  <c:v>51</c:v>
                </c:pt>
                <c:pt idx="3">
                  <c:v>27</c:v>
                </c:pt>
                <c:pt idx="4">
                  <c:v>76</c:v>
                </c:pt>
                <c:pt idx="5">
                  <c:v>0</c:v>
                </c:pt>
                <c:pt idx="6">
                  <c:v>19</c:v>
                </c:pt>
                <c:pt idx="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F6-4626-89AA-59B6AC729920}"/>
            </c:ext>
          </c:extLst>
        </c:ser>
        <c:ser>
          <c:idx val="7"/>
          <c:order val="7"/>
          <c:tx>
            <c:strRef>
              <c:f>Resumo!$A$27</c:f>
              <c:strCache>
                <c:ptCount val="1"/>
                <c:pt idx="0">
                  <c:v>Agosto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Resumo!$B$27:$I$27</c:f>
              <c:numCache>
                <c:formatCode>General</c:formatCode>
                <c:ptCount val="8"/>
                <c:pt idx="0">
                  <c:v>222</c:v>
                </c:pt>
                <c:pt idx="1">
                  <c:v>228</c:v>
                </c:pt>
                <c:pt idx="2">
                  <c:v>35</c:v>
                </c:pt>
                <c:pt idx="3">
                  <c:v>29</c:v>
                </c:pt>
                <c:pt idx="4">
                  <c:v>75</c:v>
                </c:pt>
                <c:pt idx="5">
                  <c:v>0</c:v>
                </c:pt>
                <c:pt idx="6">
                  <c:v>48</c:v>
                </c:pt>
                <c:pt idx="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F6-4626-89AA-59B6AC729920}"/>
            </c:ext>
          </c:extLst>
        </c:ser>
        <c:ser>
          <c:idx val="8"/>
          <c:order val="8"/>
          <c:tx>
            <c:strRef>
              <c:f>Resumo!$A$28</c:f>
              <c:strCache>
                <c:ptCount val="1"/>
                <c:pt idx="0">
                  <c:v>Setembro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Resumo!$B$28:$I$28</c:f>
              <c:numCache>
                <c:formatCode>General</c:formatCode>
                <c:ptCount val="8"/>
                <c:pt idx="0">
                  <c:v>174</c:v>
                </c:pt>
                <c:pt idx="1">
                  <c:v>182</c:v>
                </c:pt>
                <c:pt idx="2">
                  <c:v>21</c:v>
                </c:pt>
                <c:pt idx="3">
                  <c:v>29</c:v>
                </c:pt>
                <c:pt idx="4">
                  <c:v>38</c:v>
                </c:pt>
                <c:pt idx="5">
                  <c:v>0</c:v>
                </c:pt>
                <c:pt idx="6">
                  <c:v>16</c:v>
                </c:pt>
                <c:pt idx="7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7-4424-BF01-B130C8DC79E5}"/>
            </c:ext>
          </c:extLst>
        </c:ser>
        <c:ser>
          <c:idx val="9"/>
          <c:order val="9"/>
          <c:tx>
            <c:strRef>
              <c:f>Resumo!$A$29</c:f>
              <c:strCache>
                <c:ptCount val="1"/>
                <c:pt idx="0">
                  <c:v>Outubro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Resumo!$B$29:$I$29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7-4424-BF01-B130C8DC79E5}"/>
            </c:ext>
          </c:extLst>
        </c:ser>
        <c:ser>
          <c:idx val="10"/>
          <c:order val="10"/>
          <c:tx>
            <c:strRef>
              <c:f>Resumo!$A$30</c:f>
              <c:strCache>
                <c:ptCount val="1"/>
                <c:pt idx="0">
                  <c:v>Novembro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Resumo!$B$30:$I$30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87-4424-BF01-B130C8DC79E5}"/>
            </c:ext>
          </c:extLst>
        </c:ser>
        <c:ser>
          <c:idx val="11"/>
          <c:order val="11"/>
          <c:tx>
            <c:strRef>
              <c:f>Resumo!$A$31</c:f>
              <c:strCache>
                <c:ptCount val="1"/>
                <c:pt idx="0">
                  <c:v>Dezembro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Resumo!$B$18:$J$19</c:f>
              <c:strCache>
                <c:ptCount val="9"/>
                <c:pt idx="0">
                  <c:v>Criados</c:v>
                </c:pt>
                <c:pt idx="1">
                  <c:v>Resolvidos</c:v>
                </c:pt>
                <c:pt idx="2">
                  <c:v>Everton</c:v>
                </c:pt>
                <c:pt idx="3">
                  <c:v>Raphael</c:v>
                </c:pt>
                <c:pt idx="4">
                  <c:v>Andre</c:v>
                </c:pt>
                <c:pt idx="5">
                  <c:v>Não atribuídos</c:v>
                </c:pt>
                <c:pt idx="6">
                  <c:v>Camille</c:v>
                </c:pt>
                <c:pt idx="7">
                  <c:v>Jean</c:v>
                </c:pt>
                <c:pt idx="8">
                  <c:v>Reynaldo</c:v>
                </c:pt>
              </c:strCache>
            </c:strRef>
          </c:cat>
          <c:val>
            <c:numRef>
              <c:f>Resumo!$B$31:$I$31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87-4424-BF01-B130C8DC7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19254016"/>
        <c:axId val="1450976080"/>
      </c:barChart>
      <c:catAx>
        <c:axId val="211925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0976080"/>
        <c:crosses val="autoZero"/>
        <c:auto val="1"/>
        <c:lblAlgn val="ctr"/>
        <c:lblOffset val="100"/>
        <c:noMultiLvlLbl val="0"/>
      </c:catAx>
      <c:valAx>
        <c:axId val="145097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925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Porcentagem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Resumo!$B$37</c:f>
              <c:strCache>
                <c:ptCount val="1"/>
                <c:pt idx="0">
                  <c:v>Everton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Resumo!$A$38:$A$49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Resumo!$B$38:$B$49</c:f>
              <c:numCache>
                <c:formatCode>0.00%</c:formatCode>
                <c:ptCount val="12"/>
                <c:pt idx="0">
                  <c:v>0.12653061224489795</c:v>
                </c:pt>
                <c:pt idx="1">
                  <c:v>9.1954022988505746E-2</c:v>
                </c:pt>
                <c:pt idx="2">
                  <c:v>0.14847161572052403</c:v>
                </c:pt>
                <c:pt idx="3">
                  <c:v>0.15094339622641509</c:v>
                </c:pt>
                <c:pt idx="4">
                  <c:v>0.12413793103448276</c:v>
                </c:pt>
                <c:pt idx="5">
                  <c:v>0.18274111675126903</c:v>
                </c:pt>
                <c:pt idx="6">
                  <c:v>0.24519230769230768</c:v>
                </c:pt>
                <c:pt idx="7">
                  <c:v>0.15350877192982457</c:v>
                </c:pt>
                <c:pt idx="8">
                  <c:v>0.11538461538461539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A-48D3-A744-4B9093EC6A3C}"/>
            </c:ext>
          </c:extLst>
        </c:ser>
        <c:ser>
          <c:idx val="1"/>
          <c:order val="1"/>
          <c:tx>
            <c:strRef>
              <c:f>Resumo!$C$37</c:f>
              <c:strCache>
                <c:ptCount val="1"/>
                <c:pt idx="0">
                  <c:v>Raphael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Resumo!$A$38:$A$49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Resumo!$C$38:$C$49</c:f>
              <c:numCache>
                <c:formatCode>0.00%</c:formatCode>
                <c:ptCount val="12"/>
                <c:pt idx="0">
                  <c:v>9.3877551020408165E-2</c:v>
                </c:pt>
                <c:pt idx="1">
                  <c:v>0.16666666666666666</c:v>
                </c:pt>
                <c:pt idx="2">
                  <c:v>0.13100436681222707</c:v>
                </c:pt>
                <c:pt idx="3">
                  <c:v>0.14150943396226415</c:v>
                </c:pt>
                <c:pt idx="4">
                  <c:v>0.15172413793103448</c:v>
                </c:pt>
                <c:pt idx="5">
                  <c:v>0.116751269035533</c:v>
                </c:pt>
                <c:pt idx="6">
                  <c:v>0.12980769230769232</c:v>
                </c:pt>
                <c:pt idx="7">
                  <c:v>0.12719298245614036</c:v>
                </c:pt>
                <c:pt idx="8">
                  <c:v>0.15934065934065933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A-48D3-A744-4B9093EC6A3C}"/>
            </c:ext>
          </c:extLst>
        </c:ser>
        <c:ser>
          <c:idx val="2"/>
          <c:order val="2"/>
          <c:tx>
            <c:strRef>
              <c:f>Resumo!$D$37</c:f>
              <c:strCache>
                <c:ptCount val="1"/>
                <c:pt idx="0">
                  <c:v>Andre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Resumo!$A$38:$A$49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Resumo!$D$38:$D$49</c:f>
              <c:numCache>
                <c:formatCode>0.00%</c:formatCode>
                <c:ptCount val="12"/>
                <c:pt idx="0">
                  <c:v>0.30204081632653063</c:v>
                </c:pt>
                <c:pt idx="1">
                  <c:v>0.28160919540229884</c:v>
                </c:pt>
                <c:pt idx="2">
                  <c:v>0.2576419213973799</c:v>
                </c:pt>
                <c:pt idx="3">
                  <c:v>0.26415094339622641</c:v>
                </c:pt>
                <c:pt idx="4">
                  <c:v>0.39310344827586208</c:v>
                </c:pt>
                <c:pt idx="5">
                  <c:v>0.40609137055837563</c:v>
                </c:pt>
                <c:pt idx="6">
                  <c:v>0.36538461538461536</c:v>
                </c:pt>
                <c:pt idx="7">
                  <c:v>0.32894736842105265</c:v>
                </c:pt>
                <c:pt idx="8">
                  <c:v>0.2087912087912088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6A-48D3-A744-4B9093EC6A3C}"/>
            </c:ext>
          </c:extLst>
        </c:ser>
        <c:ser>
          <c:idx val="3"/>
          <c:order val="3"/>
          <c:tx>
            <c:strRef>
              <c:f>Resumo!$E$37</c:f>
              <c:strCache>
                <c:ptCount val="1"/>
                <c:pt idx="0">
                  <c:v>Não atribuídos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Resumo!$A$38:$A$49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Resumo!$E$38:$E$49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6A-48D3-A744-4B9093EC6A3C}"/>
            </c:ext>
          </c:extLst>
        </c:ser>
        <c:ser>
          <c:idx val="4"/>
          <c:order val="4"/>
          <c:tx>
            <c:strRef>
              <c:f>Resumo!$F$37</c:f>
              <c:strCache>
                <c:ptCount val="1"/>
                <c:pt idx="0">
                  <c:v>Camille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Resumo!$A$38:$A$49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Resumo!$F$38:$F$49</c:f>
              <c:numCache>
                <c:formatCode>0.00%</c:formatCode>
                <c:ptCount val="12"/>
                <c:pt idx="0">
                  <c:v>0.26938775510204083</c:v>
                </c:pt>
                <c:pt idx="1">
                  <c:v>0.28160919540229884</c:v>
                </c:pt>
                <c:pt idx="2">
                  <c:v>0.25327510917030566</c:v>
                </c:pt>
                <c:pt idx="3">
                  <c:v>0.24056603773584906</c:v>
                </c:pt>
                <c:pt idx="4">
                  <c:v>0.11724137931034483</c:v>
                </c:pt>
                <c:pt idx="5">
                  <c:v>7.1065989847715741E-2</c:v>
                </c:pt>
                <c:pt idx="6">
                  <c:v>9.1346153846153841E-2</c:v>
                </c:pt>
                <c:pt idx="7">
                  <c:v>0.21052631578947367</c:v>
                </c:pt>
                <c:pt idx="8">
                  <c:v>8.7912087912087919E-2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6A-48D3-A744-4B9093EC6A3C}"/>
            </c:ext>
          </c:extLst>
        </c:ser>
        <c:ser>
          <c:idx val="5"/>
          <c:order val="5"/>
          <c:tx>
            <c:strRef>
              <c:f>Resumo!$G$37</c:f>
              <c:strCache>
                <c:ptCount val="1"/>
                <c:pt idx="0">
                  <c:v>Jean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Resumo!$A$38:$A$49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Resumo!$G$38:$G$49</c:f>
              <c:numCache>
                <c:formatCode>0.00%</c:formatCode>
                <c:ptCount val="12"/>
                <c:pt idx="0">
                  <c:v>0.20816326530612245</c:v>
                </c:pt>
                <c:pt idx="1">
                  <c:v>0.17816091954022989</c:v>
                </c:pt>
                <c:pt idx="2">
                  <c:v>0.20960698689956331</c:v>
                </c:pt>
                <c:pt idx="3">
                  <c:v>0.20283018867924529</c:v>
                </c:pt>
                <c:pt idx="4">
                  <c:v>0.21379310344827587</c:v>
                </c:pt>
                <c:pt idx="5">
                  <c:v>0.2233502538071066</c:v>
                </c:pt>
                <c:pt idx="6">
                  <c:v>0.15865384615384615</c:v>
                </c:pt>
                <c:pt idx="7">
                  <c:v>0.17982456140350878</c:v>
                </c:pt>
                <c:pt idx="8">
                  <c:v>0.42857142857142855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6A-48D3-A744-4B9093EC6A3C}"/>
            </c:ext>
          </c:extLst>
        </c:ser>
        <c:ser>
          <c:idx val="6"/>
          <c:order val="6"/>
          <c:tx>
            <c:strRef>
              <c:f>Resumo!$H$37</c:f>
              <c:strCache>
                <c:ptCount val="1"/>
                <c:pt idx="0">
                  <c:v>Reynaldo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Resumo!$A$38:$A$49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Resumo!$H$38:$H$49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9.6153846153846159E-3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E-42D6-9B43-150C8D9A3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5638736"/>
        <c:axId val="1222468496"/>
      </c:barChart>
      <c:catAx>
        <c:axId val="29563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2468496"/>
        <c:crosses val="autoZero"/>
        <c:auto val="1"/>
        <c:lblAlgn val="ctr"/>
        <c:lblOffset val="100"/>
        <c:noMultiLvlLbl val="0"/>
      </c:catAx>
      <c:valAx>
        <c:axId val="122246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563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158001</xdr:colOff>
      <xdr:row>0</xdr:row>
      <xdr:rowOff>0</xdr:rowOff>
    </xdr:from>
    <xdr:to>
      <xdr:col>32</xdr:col>
      <xdr:colOff>390525</xdr:colOff>
      <xdr:row>15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145114</xdr:colOff>
      <xdr:row>16</xdr:row>
      <xdr:rowOff>184897</xdr:rowOff>
    </xdr:from>
    <xdr:to>
      <xdr:col>32</xdr:col>
      <xdr:colOff>369793</xdr:colOff>
      <xdr:row>33</xdr:row>
      <xdr:rowOff>14567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156321</xdr:colOff>
      <xdr:row>34</xdr:row>
      <xdr:rowOff>14062</xdr:rowOff>
    </xdr:from>
    <xdr:to>
      <xdr:col>32</xdr:col>
      <xdr:colOff>358588</xdr:colOff>
      <xdr:row>52</xdr:row>
      <xdr:rowOff>144555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914400</xdr:colOff>
          <xdr:row>2</xdr:row>
          <xdr:rowOff>19050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914400</xdr:colOff>
          <xdr:row>2</xdr:row>
          <xdr:rowOff>19050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914400</xdr:colOff>
          <xdr:row>2</xdr:row>
          <xdr:rowOff>19050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3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1F56-E3BF-4111-A918-225C95477DB4}">
  <dimension ref="A1:J51"/>
  <sheetViews>
    <sheetView tabSelected="1" zoomScaleNormal="100" workbookViewId="0">
      <selection activeCell="A2" sqref="A2"/>
    </sheetView>
  </sheetViews>
  <sheetFormatPr defaultRowHeight="15" x14ac:dyDescent="0.25"/>
  <cols>
    <col min="1" max="1" width="20.7109375" style="92" customWidth="1"/>
    <col min="2" max="2" width="16.7109375" style="8" customWidth="1"/>
    <col min="3" max="3" width="15" style="8" customWidth="1"/>
    <col min="4" max="4" width="15.5703125" style="8" customWidth="1"/>
    <col min="5" max="5" width="15" style="8" customWidth="1"/>
    <col min="6" max="6" width="14.140625" style="8" customWidth="1"/>
    <col min="7" max="7" width="13.42578125" style="8" customWidth="1"/>
    <col min="8" max="8" width="16" style="8" customWidth="1"/>
    <col min="9" max="9" width="14.7109375" style="8" customWidth="1"/>
    <col min="10" max="10" width="12" style="7" customWidth="1"/>
    <col min="11" max="16384" width="9.140625" style="7"/>
  </cols>
  <sheetData>
    <row r="1" spans="1:10" ht="21.75" thickBot="1" x14ac:dyDescent="0.4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7"/>
    </row>
    <row r="2" spans="1:10" ht="30" x14ac:dyDescent="0.25">
      <c r="A2" s="33" t="s">
        <v>1</v>
      </c>
      <c r="B2" s="34" t="s">
        <v>162</v>
      </c>
      <c r="C2" s="35" t="s">
        <v>163</v>
      </c>
      <c r="D2" s="3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5" t="s">
        <v>164</v>
      </c>
    </row>
    <row r="3" spans="1:10" x14ac:dyDescent="0.25">
      <c r="A3" s="90" t="s">
        <v>10</v>
      </c>
      <c r="B3" s="37">
        <f>Jan!B30</f>
        <v>10.32</v>
      </c>
      <c r="C3" s="38">
        <f>Jan!C30</f>
        <v>9.8000000000000007</v>
      </c>
      <c r="D3" s="39">
        <f>Jan!D30</f>
        <v>1.24</v>
      </c>
      <c r="E3" s="39">
        <f>Jan!E30</f>
        <v>0.92</v>
      </c>
      <c r="F3" s="39">
        <f>Jan!F30</f>
        <v>2.96</v>
      </c>
      <c r="G3" s="39">
        <f>Jan!G30</f>
        <v>0</v>
      </c>
      <c r="H3" s="39">
        <f>Jan!H30</f>
        <v>2.64</v>
      </c>
      <c r="I3" s="39">
        <f>Jan!I30</f>
        <v>2.04</v>
      </c>
      <c r="J3" s="38">
        <f>Jan!J30</f>
        <v>0</v>
      </c>
    </row>
    <row r="4" spans="1:10" x14ac:dyDescent="0.25">
      <c r="A4" s="90" t="s">
        <v>11</v>
      </c>
      <c r="B4" s="37">
        <f>Fev!B30</f>
        <v>7.8695652173913047</v>
      </c>
      <c r="C4" s="38">
        <f>Fev!C30</f>
        <v>7.5652173913043477</v>
      </c>
      <c r="D4" s="39">
        <f>Fev!D30</f>
        <v>0.69565217391304346</v>
      </c>
      <c r="E4" s="39">
        <f>Fev!E30</f>
        <v>1.2608695652173914</v>
      </c>
      <c r="F4" s="39">
        <f>Fev!F30</f>
        <v>2.1304347826086958</v>
      </c>
      <c r="G4" s="39">
        <f>Fev!G30</f>
        <v>0</v>
      </c>
      <c r="H4" s="39">
        <f>Fev!H30</f>
        <v>2.1304347826086958</v>
      </c>
      <c r="I4" s="39">
        <f>Fev!I30</f>
        <v>1.3478260869565217</v>
      </c>
      <c r="J4" s="38">
        <f>Fev!J30</f>
        <v>0</v>
      </c>
    </row>
    <row r="5" spans="1:10" x14ac:dyDescent="0.25">
      <c r="A5" s="90" t="s">
        <v>12</v>
      </c>
      <c r="B5" s="37">
        <f>Mar!B30</f>
        <v>9.7727272727272734</v>
      </c>
      <c r="C5" s="38">
        <f>Mar!C30</f>
        <v>10.409090909090908</v>
      </c>
      <c r="D5" s="39">
        <f>Mar!D30</f>
        <v>1.5454545454545454</v>
      </c>
      <c r="E5" s="39">
        <f>Mar!E30</f>
        <v>1.3636363636363635</v>
      </c>
      <c r="F5" s="39">
        <f>Mar!F30</f>
        <v>2.6818181818181817</v>
      </c>
      <c r="G5" s="39">
        <f>Mar!G30</f>
        <v>0</v>
      </c>
      <c r="H5" s="39">
        <f>Mar!H30</f>
        <v>2.6363636363636362</v>
      </c>
      <c r="I5" s="39">
        <f>Mar!I30</f>
        <v>2.1818181818181817</v>
      </c>
      <c r="J5" s="38">
        <f>Mar!J30</f>
        <v>0</v>
      </c>
    </row>
    <row r="6" spans="1:10" x14ac:dyDescent="0.25">
      <c r="A6" s="90" t="s">
        <v>13</v>
      </c>
      <c r="B6" s="37">
        <f>Abr!B30</f>
        <v>11.045454545454545</v>
      </c>
      <c r="C6" s="38">
        <f>Abr!C30</f>
        <v>9.6363636363636367</v>
      </c>
      <c r="D6" s="39">
        <f>Abr!D30</f>
        <v>1.4545454545454546</v>
      </c>
      <c r="E6" s="39">
        <f>Abr!E30</f>
        <v>1.3636363636363635</v>
      </c>
      <c r="F6" s="39">
        <f>Abr!F30</f>
        <v>2.5454545454545454</v>
      </c>
      <c r="G6" s="39">
        <f>Abr!G30</f>
        <v>0</v>
      </c>
      <c r="H6" s="39">
        <f>Abr!H30</f>
        <v>2.3181818181818183</v>
      </c>
      <c r="I6" s="39">
        <f>Abr!I30</f>
        <v>1.9545454545454546</v>
      </c>
      <c r="J6" s="38">
        <f>Abr!J30</f>
        <v>0</v>
      </c>
    </row>
    <row r="7" spans="1:10" x14ac:dyDescent="0.25">
      <c r="A7" s="90" t="s">
        <v>14</v>
      </c>
      <c r="B7" s="37">
        <f>Mai!B30</f>
        <v>6.333333333333333</v>
      </c>
      <c r="C7" s="38">
        <f>Mai!C30</f>
        <v>6.9047619047619051</v>
      </c>
      <c r="D7" s="39">
        <f>Mai!D30</f>
        <v>0.8571428571428571</v>
      </c>
      <c r="E7" s="39">
        <f>Mai!E30</f>
        <v>1.0476190476190477</v>
      </c>
      <c r="F7" s="39">
        <f>Mai!F30</f>
        <v>2.7142857142857144</v>
      </c>
      <c r="G7" s="39">
        <f>Mai!G30</f>
        <v>0</v>
      </c>
      <c r="H7" s="39">
        <f>Mai!H30</f>
        <v>0.80952380952380953</v>
      </c>
      <c r="I7" s="39">
        <f>Mai!I30</f>
        <v>1.4761904761904763</v>
      </c>
      <c r="J7" s="38">
        <f>Mai!J30</f>
        <v>0</v>
      </c>
    </row>
    <row r="8" spans="1:10" x14ac:dyDescent="0.25">
      <c r="A8" s="90" t="s">
        <v>15</v>
      </c>
      <c r="B8" s="37">
        <f>Jun!B30</f>
        <v>10.35</v>
      </c>
      <c r="C8" s="38">
        <f>Jun!C30</f>
        <v>9.85</v>
      </c>
      <c r="D8" s="39">
        <f>Jun!D30</f>
        <v>1.8</v>
      </c>
      <c r="E8" s="39">
        <f>Jun!E30</f>
        <v>1.1499999999999999</v>
      </c>
      <c r="F8" s="39">
        <f>Jun!F30</f>
        <v>4</v>
      </c>
      <c r="G8" s="39">
        <f>Jun!G30</f>
        <v>0</v>
      </c>
      <c r="H8" s="39">
        <f>Jun!H30</f>
        <v>0.7</v>
      </c>
      <c r="I8" s="39">
        <f>Jun!I30</f>
        <v>2.2000000000000002</v>
      </c>
      <c r="J8" s="38">
        <f>Jun!J30</f>
        <v>0</v>
      </c>
    </row>
    <row r="9" spans="1:10" x14ac:dyDescent="0.25">
      <c r="A9" s="90" t="s">
        <v>16</v>
      </c>
      <c r="B9" s="37">
        <f>Jul!B30</f>
        <v>9.2173913043478262</v>
      </c>
      <c r="C9" s="38">
        <f>Jul!C30</f>
        <v>9.0434782608695645</v>
      </c>
      <c r="D9" s="39">
        <f>Jul!D30</f>
        <v>2.2173913043478262</v>
      </c>
      <c r="E9" s="39">
        <f>Jul!E30</f>
        <v>1.173913043478261</v>
      </c>
      <c r="F9" s="39">
        <f>Jul!F30</f>
        <v>3.3043478260869565</v>
      </c>
      <c r="G9" s="39">
        <f>Jul!G30</f>
        <v>0</v>
      </c>
      <c r="H9" s="39">
        <f>Jul!H30</f>
        <v>0.82608695652173914</v>
      </c>
      <c r="I9" s="39">
        <f>Jul!I30</f>
        <v>1.4347826086956521</v>
      </c>
      <c r="J9" s="38">
        <f>Jul!J30</f>
        <v>8.6956521739130432E-2</v>
      </c>
    </row>
    <row r="10" spans="1:10" x14ac:dyDescent="0.25">
      <c r="A10" s="90" t="s">
        <v>17</v>
      </c>
      <c r="B10" s="40">
        <f>Ago!B30</f>
        <v>9.25</v>
      </c>
      <c r="C10" s="41">
        <f>Ago!C30</f>
        <v>9.5</v>
      </c>
      <c r="D10" s="42">
        <f>Ago!D30</f>
        <v>1.4583333333333333</v>
      </c>
      <c r="E10" s="42">
        <f>Ago!E30</f>
        <v>1.2083333333333333</v>
      </c>
      <c r="F10" s="42">
        <f>Ago!F30</f>
        <v>3.125</v>
      </c>
      <c r="G10" s="42">
        <f>Ago!G30</f>
        <v>0</v>
      </c>
      <c r="H10" s="42">
        <f>Ago!H30</f>
        <v>2</v>
      </c>
      <c r="I10" s="42">
        <f>Ago!I30</f>
        <v>1.7083333333333333</v>
      </c>
      <c r="J10" s="41">
        <f>Ago!J30</f>
        <v>0</v>
      </c>
    </row>
    <row r="11" spans="1:10" x14ac:dyDescent="0.25">
      <c r="A11" s="90" t="s">
        <v>18</v>
      </c>
      <c r="B11" s="37">
        <f>Set!B30</f>
        <v>7.9090909090909092</v>
      </c>
      <c r="C11" s="38">
        <f>Set!C30</f>
        <v>8.2727272727272734</v>
      </c>
      <c r="D11" s="39">
        <f>Set!D30</f>
        <v>0.95454545454545459</v>
      </c>
      <c r="E11" s="39">
        <f>Set!E30</f>
        <v>1.3181818181818181</v>
      </c>
      <c r="F11" s="39">
        <f>Set!F30</f>
        <v>3.8</v>
      </c>
      <c r="G11" s="39">
        <f>Set!G30</f>
        <v>0</v>
      </c>
      <c r="H11" s="39">
        <f>Set!H30</f>
        <v>0.72727272727272729</v>
      </c>
      <c r="I11" s="39">
        <f>Set!I30</f>
        <v>3.5454545454545454</v>
      </c>
      <c r="J11" s="39">
        <f>Set!J30</f>
        <v>0</v>
      </c>
    </row>
    <row r="12" spans="1:10" x14ac:dyDescent="0.25">
      <c r="A12" s="90" t="s">
        <v>19</v>
      </c>
      <c r="B12" s="43">
        <f>Out!B30</f>
        <v>0</v>
      </c>
      <c r="C12" s="44">
        <f>Out!C30</f>
        <v>0</v>
      </c>
      <c r="D12" s="45">
        <f>Out!D30</f>
        <v>0</v>
      </c>
      <c r="E12" s="45">
        <f>Out!E30</f>
        <v>0</v>
      </c>
      <c r="F12" s="45">
        <f>Out!F30</f>
        <v>0</v>
      </c>
      <c r="G12" s="45">
        <f>Out!G30</f>
        <v>0</v>
      </c>
      <c r="H12" s="45">
        <f>Out!H30</f>
        <v>0</v>
      </c>
      <c r="I12" s="45">
        <f>Out!I30</f>
        <v>0</v>
      </c>
      <c r="J12" s="44">
        <f>Out!J30</f>
        <v>0</v>
      </c>
    </row>
    <row r="13" spans="1:10" x14ac:dyDescent="0.25">
      <c r="A13" s="90" t="s">
        <v>20</v>
      </c>
      <c r="B13" s="37">
        <f>Nov!B30</f>
        <v>0</v>
      </c>
      <c r="C13" s="38">
        <f>Nov!C30</f>
        <v>0</v>
      </c>
      <c r="D13" s="39">
        <f>Nov!D30</f>
        <v>0</v>
      </c>
      <c r="E13" s="39">
        <f>Nov!E30</f>
        <v>0</v>
      </c>
      <c r="F13" s="39">
        <f>Nov!F30</f>
        <v>0</v>
      </c>
      <c r="G13" s="39">
        <f>Nov!G30</f>
        <v>0</v>
      </c>
      <c r="H13" s="39">
        <f>Nov!H30</f>
        <v>0</v>
      </c>
      <c r="I13" s="39">
        <f>Nov!I30</f>
        <v>0</v>
      </c>
      <c r="J13" s="38">
        <f>Nov!J30</f>
        <v>0</v>
      </c>
    </row>
    <row r="14" spans="1:10" ht="15.75" thickBot="1" x14ac:dyDescent="0.3">
      <c r="A14" s="91" t="s">
        <v>21</v>
      </c>
      <c r="B14" s="40">
        <f>Dez!B30</f>
        <v>0</v>
      </c>
      <c r="C14" s="41">
        <f>Dez!C30</f>
        <v>0</v>
      </c>
      <c r="D14" s="42">
        <f>Dez!D30</f>
        <v>0</v>
      </c>
      <c r="E14" s="42">
        <f>Dez!E30</f>
        <v>0</v>
      </c>
      <c r="F14" s="42">
        <f>Dez!F30</f>
        <v>0</v>
      </c>
      <c r="G14" s="42">
        <f>Dez!G30</f>
        <v>0</v>
      </c>
      <c r="H14" s="42">
        <f>Dez!H30</f>
        <v>0</v>
      </c>
      <c r="I14" s="42">
        <f>Dez!I30</f>
        <v>0</v>
      </c>
      <c r="J14" s="41">
        <f>Dez!J30</f>
        <v>0</v>
      </c>
    </row>
    <row r="15" spans="1:10" ht="19.5" thickBot="1" x14ac:dyDescent="0.35">
      <c r="A15" s="46" t="s">
        <v>22</v>
      </c>
      <c r="B15" s="47">
        <f>AVERAGE(B3:B11)</f>
        <v>9.1186180647050215</v>
      </c>
      <c r="C15" s="47">
        <f>AVERAGE(C3:C11)</f>
        <v>8.9979599305686246</v>
      </c>
      <c r="D15" s="47">
        <f>AVERAGE(D3:D11)</f>
        <v>1.3581183470313904</v>
      </c>
      <c r="E15" s="47">
        <f>AVERAGE(E3:E11)</f>
        <v>1.2006877261225088</v>
      </c>
      <c r="F15" s="47">
        <f>AVERAGE(F3:F11)</f>
        <v>3.0290378944726775</v>
      </c>
      <c r="G15" s="47">
        <f>AVERAGE(G3:G14)</f>
        <v>0</v>
      </c>
      <c r="H15" s="47">
        <f>AVERAGE(H3:H11)</f>
        <v>1.6430959700524916</v>
      </c>
      <c r="I15" s="47">
        <f>AVERAGE(I3:I11)</f>
        <v>1.9876611874437959</v>
      </c>
      <c r="J15" s="47">
        <f>AVERAGE(J3:J14)</f>
        <v>7.246376811594203E-3</v>
      </c>
    </row>
    <row r="16" spans="1:10" ht="18.75" x14ac:dyDescent="0.25">
      <c r="B16" s="6"/>
      <c r="C16" s="6"/>
      <c r="D16" s="6"/>
      <c r="E16" s="6"/>
      <c r="F16" s="6"/>
      <c r="G16" s="6"/>
      <c r="H16" s="6"/>
      <c r="I16" s="6"/>
    </row>
    <row r="17" spans="1:10" ht="15.75" thickBot="1" x14ac:dyDescent="0.3"/>
    <row r="18" spans="1:10" ht="21.75" thickBot="1" x14ac:dyDescent="0.4">
      <c r="A18" s="98" t="s">
        <v>23</v>
      </c>
      <c r="B18" s="99"/>
      <c r="C18" s="99"/>
      <c r="D18" s="99"/>
      <c r="E18" s="99"/>
      <c r="F18" s="99"/>
      <c r="G18" s="99"/>
      <c r="H18" s="99"/>
      <c r="I18" s="99"/>
      <c r="J18" s="100"/>
    </row>
    <row r="19" spans="1:10" ht="30" x14ac:dyDescent="0.25">
      <c r="A19" s="48" t="s">
        <v>1</v>
      </c>
      <c r="B19" s="49" t="s">
        <v>162</v>
      </c>
      <c r="C19" s="50" t="s">
        <v>163</v>
      </c>
      <c r="D19" s="51" t="s">
        <v>4</v>
      </c>
      <c r="E19" s="52" t="s">
        <v>5</v>
      </c>
      <c r="F19" s="52" t="s">
        <v>6</v>
      </c>
      <c r="G19" s="52" t="s">
        <v>7</v>
      </c>
      <c r="H19" s="52" t="s">
        <v>8</v>
      </c>
      <c r="I19" s="52" t="s">
        <v>9</v>
      </c>
      <c r="J19" s="50" t="s">
        <v>164</v>
      </c>
    </row>
    <row r="20" spans="1:10" x14ac:dyDescent="0.25">
      <c r="A20" s="90" t="s">
        <v>10</v>
      </c>
      <c r="B20" s="53">
        <f>Jan!B31</f>
        <v>258</v>
      </c>
      <c r="C20" s="54">
        <f>Jan!C31</f>
        <v>245</v>
      </c>
      <c r="D20" s="55">
        <f>Jan!D31</f>
        <v>31</v>
      </c>
      <c r="E20" s="56">
        <f>Jan!E31</f>
        <v>23</v>
      </c>
      <c r="F20" s="56">
        <f>Jan!F31</f>
        <v>74</v>
      </c>
      <c r="G20" s="56">
        <f>Jan!G31</f>
        <v>0</v>
      </c>
      <c r="H20" s="56">
        <f>Jan!H31</f>
        <v>66</v>
      </c>
      <c r="I20" s="56">
        <f>Jan!I31</f>
        <v>51</v>
      </c>
      <c r="J20" s="54">
        <f>Jan!J31</f>
        <v>0</v>
      </c>
    </row>
    <row r="21" spans="1:10" x14ac:dyDescent="0.25">
      <c r="A21" s="90" t="s">
        <v>11</v>
      </c>
      <c r="B21" s="53">
        <f>Fev!B31</f>
        <v>181</v>
      </c>
      <c r="C21" s="54">
        <f>Fev!C31</f>
        <v>174</v>
      </c>
      <c r="D21" s="55">
        <f>Fev!D31</f>
        <v>16</v>
      </c>
      <c r="E21" s="55">
        <f>Fev!E31</f>
        <v>29</v>
      </c>
      <c r="F21" s="55">
        <f>Fev!F31</f>
        <v>49</v>
      </c>
      <c r="G21" s="55">
        <f>Fev!G31</f>
        <v>0</v>
      </c>
      <c r="H21" s="55">
        <f>Fev!H31</f>
        <v>49</v>
      </c>
      <c r="I21" s="55">
        <f>Fev!I31</f>
        <v>31</v>
      </c>
      <c r="J21" s="57">
        <f>Fev!J31</f>
        <v>0</v>
      </c>
    </row>
    <row r="22" spans="1:10" x14ac:dyDescent="0.25">
      <c r="A22" s="90" t="s">
        <v>12</v>
      </c>
      <c r="B22" s="53">
        <f>Mar!B31</f>
        <v>215</v>
      </c>
      <c r="C22" s="54">
        <f>Mar!C31</f>
        <v>229</v>
      </c>
      <c r="D22" s="55">
        <f>Mar!D31</f>
        <v>34</v>
      </c>
      <c r="E22" s="55">
        <f>Mar!E31</f>
        <v>30</v>
      </c>
      <c r="F22" s="55">
        <f>Mar!F31</f>
        <v>59</v>
      </c>
      <c r="G22" s="55">
        <f>Mar!G31</f>
        <v>0</v>
      </c>
      <c r="H22" s="55">
        <f>Mar!H31</f>
        <v>58</v>
      </c>
      <c r="I22" s="55">
        <f>Mar!I31</f>
        <v>48</v>
      </c>
      <c r="J22" s="57">
        <f>Mar!J31</f>
        <v>0</v>
      </c>
    </row>
    <row r="23" spans="1:10" x14ac:dyDescent="0.25">
      <c r="A23" s="90" t="s">
        <v>13</v>
      </c>
      <c r="B23" s="58">
        <f>Abr!B31</f>
        <v>243</v>
      </c>
      <c r="C23" s="59">
        <f>Abr!C31</f>
        <v>212</v>
      </c>
      <c r="D23" s="60">
        <f>Abr!D31</f>
        <v>32</v>
      </c>
      <c r="E23" s="61">
        <f>Abr!E31</f>
        <v>30</v>
      </c>
      <c r="F23" s="61">
        <f>Abr!F31</f>
        <v>56</v>
      </c>
      <c r="G23" s="61">
        <f>Abr!G31</f>
        <v>0</v>
      </c>
      <c r="H23" s="61">
        <f>Abr!H31</f>
        <v>51</v>
      </c>
      <c r="I23" s="61">
        <f>Abr!I31</f>
        <v>43</v>
      </c>
      <c r="J23" s="59">
        <f>Abr!J31</f>
        <v>0</v>
      </c>
    </row>
    <row r="24" spans="1:10" x14ac:dyDescent="0.25">
      <c r="A24" s="90" t="s">
        <v>14</v>
      </c>
      <c r="B24" s="58">
        <f>Mai!B31</f>
        <v>133</v>
      </c>
      <c r="C24" s="59">
        <f>Mai!C31</f>
        <v>145</v>
      </c>
      <c r="D24" s="60">
        <f>Mai!D31</f>
        <v>18</v>
      </c>
      <c r="E24" s="61">
        <f>Mai!E31</f>
        <v>22</v>
      </c>
      <c r="F24" s="61">
        <f>Mai!F31</f>
        <v>57</v>
      </c>
      <c r="G24" s="61">
        <f>Mai!G31</f>
        <v>0</v>
      </c>
      <c r="H24" s="61">
        <f>Mai!H31</f>
        <v>17</v>
      </c>
      <c r="I24" s="61">
        <f>Mai!I31</f>
        <v>31</v>
      </c>
      <c r="J24" s="59">
        <f>Mai!J31</f>
        <v>0</v>
      </c>
    </row>
    <row r="25" spans="1:10" x14ac:dyDescent="0.25">
      <c r="A25" s="90" t="s">
        <v>15</v>
      </c>
      <c r="B25" s="58">
        <f>Jun!B31</f>
        <v>207</v>
      </c>
      <c r="C25" s="59">
        <f>Jun!C31</f>
        <v>197</v>
      </c>
      <c r="D25" s="60">
        <f>Jun!D31</f>
        <v>36</v>
      </c>
      <c r="E25" s="61">
        <f>Jun!E31</f>
        <v>23</v>
      </c>
      <c r="F25" s="61">
        <f>Jun!F31</f>
        <v>80</v>
      </c>
      <c r="G25" s="61">
        <f>Jun!G31</f>
        <v>0</v>
      </c>
      <c r="H25" s="61">
        <f>Jun!H31</f>
        <v>14</v>
      </c>
      <c r="I25" s="61">
        <f>Jun!I31</f>
        <v>44</v>
      </c>
      <c r="J25" s="59">
        <f>Jun!J31</f>
        <v>0</v>
      </c>
    </row>
    <row r="26" spans="1:10" x14ac:dyDescent="0.25">
      <c r="A26" s="90" t="s">
        <v>16</v>
      </c>
      <c r="B26" s="58">
        <f>Jul!B31</f>
        <v>212</v>
      </c>
      <c r="C26" s="59">
        <f>Jul!C31</f>
        <v>208</v>
      </c>
      <c r="D26" s="60">
        <f>Jul!D31</f>
        <v>51</v>
      </c>
      <c r="E26" s="61">
        <f>Jul!E31</f>
        <v>27</v>
      </c>
      <c r="F26" s="61">
        <f>Jul!F31</f>
        <v>76</v>
      </c>
      <c r="G26" s="61">
        <f>Jul!G31</f>
        <v>0</v>
      </c>
      <c r="H26" s="61">
        <f>Jul!H31</f>
        <v>19</v>
      </c>
      <c r="I26" s="61">
        <f>Jul!I31</f>
        <v>33</v>
      </c>
      <c r="J26" s="59">
        <f>Jul!J31</f>
        <v>2</v>
      </c>
    </row>
    <row r="27" spans="1:10" x14ac:dyDescent="0.25">
      <c r="A27" s="90" t="s">
        <v>17</v>
      </c>
      <c r="B27" s="62">
        <f>Ago!B31</f>
        <v>222</v>
      </c>
      <c r="C27" s="63">
        <f>Ago!C31</f>
        <v>228</v>
      </c>
      <c r="D27" s="64">
        <f>Ago!D31</f>
        <v>35</v>
      </c>
      <c r="E27" s="65">
        <f>Ago!E31</f>
        <v>29</v>
      </c>
      <c r="F27" s="65">
        <f>Ago!F31</f>
        <v>75</v>
      </c>
      <c r="G27" s="65">
        <f>Ago!G31</f>
        <v>0</v>
      </c>
      <c r="H27" s="65">
        <f>Ago!H31</f>
        <v>48</v>
      </c>
      <c r="I27" s="65">
        <f>Ago!I31</f>
        <v>41</v>
      </c>
      <c r="J27" s="63">
        <f>Ago!J31</f>
        <v>0</v>
      </c>
    </row>
    <row r="28" spans="1:10" x14ac:dyDescent="0.25">
      <c r="A28" s="90" t="s">
        <v>18</v>
      </c>
      <c r="B28" s="53">
        <f>Set!B31</f>
        <v>174</v>
      </c>
      <c r="C28" s="54">
        <f>Set!C31</f>
        <v>182</v>
      </c>
      <c r="D28" s="55">
        <f>Set!D31</f>
        <v>21</v>
      </c>
      <c r="E28" s="56">
        <f>Set!E31</f>
        <v>29</v>
      </c>
      <c r="F28" s="56">
        <f>Set!F31</f>
        <v>38</v>
      </c>
      <c r="G28" s="56">
        <f>Set!G31</f>
        <v>0</v>
      </c>
      <c r="H28" s="56">
        <f>Set!H31</f>
        <v>16</v>
      </c>
      <c r="I28" s="56">
        <f>Set!I31</f>
        <v>78</v>
      </c>
      <c r="J28" s="54">
        <f>Set!J31</f>
        <v>0</v>
      </c>
    </row>
    <row r="29" spans="1:10" x14ac:dyDescent="0.25">
      <c r="A29" s="90" t="s">
        <v>19</v>
      </c>
      <c r="B29" s="66">
        <f>Out!B31</f>
        <v>0</v>
      </c>
      <c r="C29" s="67">
        <f>Out!C31</f>
        <v>0</v>
      </c>
      <c r="D29" s="68">
        <f>Out!D31</f>
        <v>0</v>
      </c>
      <c r="E29" s="68">
        <f>Out!E31</f>
        <v>0</v>
      </c>
      <c r="F29" s="68">
        <f>Out!F31</f>
        <v>0</v>
      </c>
      <c r="G29" s="68">
        <f>Out!G31</f>
        <v>0</v>
      </c>
      <c r="H29" s="68">
        <f>Out!H31</f>
        <v>0</v>
      </c>
      <c r="I29" s="68">
        <f>Out!I31</f>
        <v>0</v>
      </c>
      <c r="J29" s="69">
        <f>Out!J31</f>
        <v>0</v>
      </c>
    </row>
    <row r="30" spans="1:10" x14ac:dyDescent="0.25">
      <c r="A30" s="90" t="s">
        <v>20</v>
      </c>
      <c r="B30" s="53">
        <f>Nov!B31</f>
        <v>0</v>
      </c>
      <c r="C30" s="54">
        <f>Nov!C31</f>
        <v>0</v>
      </c>
      <c r="D30" s="55">
        <f>Nov!D31</f>
        <v>0</v>
      </c>
      <c r="E30" s="56">
        <f>Nov!E31</f>
        <v>0</v>
      </c>
      <c r="F30" s="56">
        <f>Nov!F31</f>
        <v>0</v>
      </c>
      <c r="G30" s="56">
        <f>Nov!G31</f>
        <v>0</v>
      </c>
      <c r="H30" s="56">
        <f>Nov!H31</f>
        <v>0</v>
      </c>
      <c r="I30" s="56">
        <f>Nov!I31</f>
        <v>0</v>
      </c>
      <c r="J30" s="54">
        <f>Nov!J31</f>
        <v>0</v>
      </c>
    </row>
    <row r="31" spans="1:10" ht="15.75" thickBot="1" x14ac:dyDescent="0.3">
      <c r="A31" s="91" t="s">
        <v>21</v>
      </c>
      <c r="B31" s="62">
        <f>Dez!B31</f>
        <v>0</v>
      </c>
      <c r="C31" s="63">
        <f>Dez!C31</f>
        <v>0</v>
      </c>
      <c r="D31" s="64">
        <f>Dez!D31</f>
        <v>0</v>
      </c>
      <c r="E31" s="65">
        <f>Dez!E31</f>
        <v>0</v>
      </c>
      <c r="F31" s="65">
        <f>Dez!F31</f>
        <v>0</v>
      </c>
      <c r="G31" s="65">
        <f>Dez!G31</f>
        <v>0</v>
      </c>
      <c r="H31" s="65">
        <f>Dez!H31</f>
        <v>0</v>
      </c>
      <c r="I31" s="65">
        <f>Dez!I31</f>
        <v>0</v>
      </c>
      <c r="J31" s="63">
        <f>Dez!J31</f>
        <v>0</v>
      </c>
    </row>
    <row r="32" spans="1:10" ht="19.5" thickBot="1" x14ac:dyDescent="0.35">
      <c r="A32" s="70" t="s">
        <v>24</v>
      </c>
      <c r="B32" s="32">
        <f>SUM(B20:B31)</f>
        <v>1845</v>
      </c>
      <c r="C32" s="32">
        <f t="shared" ref="C32" si="0">SUM(C20:C31)</f>
        <v>1820</v>
      </c>
      <c r="D32" s="32">
        <f t="shared" ref="D32:I32" si="1">SUM(D20:D31)</f>
        <v>274</v>
      </c>
      <c r="E32" s="32">
        <f t="shared" si="1"/>
        <v>242</v>
      </c>
      <c r="F32" s="32">
        <f t="shared" si="1"/>
        <v>564</v>
      </c>
      <c r="G32" s="32">
        <f t="shared" si="1"/>
        <v>0</v>
      </c>
      <c r="H32" s="32">
        <f t="shared" si="1"/>
        <v>338</v>
      </c>
      <c r="I32" s="32">
        <f t="shared" si="1"/>
        <v>400</v>
      </c>
      <c r="J32" s="32">
        <f t="shared" ref="J32" si="2">SUM(J20:J31)</f>
        <v>2</v>
      </c>
    </row>
    <row r="33" spans="1:10" ht="19.5" thickBot="1" x14ac:dyDescent="0.35">
      <c r="A33" s="71" t="s">
        <v>25</v>
      </c>
      <c r="B33" s="72">
        <f>AVERAGE(B20:B28)</f>
        <v>205</v>
      </c>
      <c r="C33" s="72">
        <f>AVERAGE(C20:C28)</f>
        <v>202.22222222222223</v>
      </c>
      <c r="D33" s="72">
        <f>AVERAGE(D20:D28)</f>
        <v>30.444444444444443</v>
      </c>
      <c r="E33" s="72">
        <f>AVERAGE(E20:E28)</f>
        <v>26.888888888888889</v>
      </c>
      <c r="F33" s="72">
        <f>AVERAGE(F20:F28)</f>
        <v>62.666666666666664</v>
      </c>
      <c r="G33" s="72">
        <f>AVERAGE(G20:G31)</f>
        <v>0</v>
      </c>
      <c r="H33" s="72">
        <f>AVERAGE(H20:H28)</f>
        <v>37.555555555555557</v>
      </c>
      <c r="I33" s="72">
        <f>AVERAGE(I20:I28)</f>
        <v>44.444444444444443</v>
      </c>
      <c r="J33" s="73">
        <f>AVERAGE(J20:J31)</f>
        <v>0.16666666666666666</v>
      </c>
    </row>
    <row r="35" spans="1:10" ht="15.75" thickBot="1" x14ac:dyDescent="0.3"/>
    <row r="36" spans="1:10" ht="21.75" thickBot="1" x14ac:dyDescent="0.4">
      <c r="A36" s="101" t="s">
        <v>26</v>
      </c>
      <c r="B36" s="102"/>
      <c r="C36" s="102"/>
      <c r="D36" s="102"/>
      <c r="E36" s="102"/>
      <c r="F36" s="102"/>
      <c r="G36" s="102"/>
      <c r="H36" s="102"/>
      <c r="I36" s="103"/>
    </row>
    <row r="37" spans="1:10" x14ac:dyDescent="0.25">
      <c r="A37" s="74" t="s">
        <v>1</v>
      </c>
      <c r="B37" s="52" t="s">
        <v>4</v>
      </c>
      <c r="C37" s="52" t="s">
        <v>5</v>
      </c>
      <c r="D37" s="52" t="s">
        <v>6</v>
      </c>
      <c r="E37" s="52" t="s">
        <v>7</v>
      </c>
      <c r="F37" s="52" t="s">
        <v>8</v>
      </c>
      <c r="G37" s="52" t="s">
        <v>9</v>
      </c>
      <c r="H37" s="52" t="s">
        <v>164</v>
      </c>
      <c r="I37" s="75" t="s">
        <v>27</v>
      </c>
    </row>
    <row r="38" spans="1:10" x14ac:dyDescent="0.25">
      <c r="A38" s="93" t="s">
        <v>10</v>
      </c>
      <c r="B38" s="80">
        <f>Jan!D32</f>
        <v>0.12653061224489795</v>
      </c>
      <c r="C38" s="80">
        <f>Jan!E32</f>
        <v>9.3877551020408165E-2</v>
      </c>
      <c r="D38" s="80">
        <f>Jan!F32</f>
        <v>0.30204081632653063</v>
      </c>
      <c r="E38" s="80">
        <f>Jan!G32</f>
        <v>0</v>
      </c>
      <c r="F38" s="80">
        <f>Jan!H32</f>
        <v>0.26938775510204083</v>
      </c>
      <c r="G38" s="80">
        <f>Jan!I32</f>
        <v>0.20816326530612245</v>
      </c>
      <c r="H38" s="80">
        <f>Jan!J32</f>
        <v>0</v>
      </c>
      <c r="I38" s="81">
        <f>SUM(B38:H38)</f>
        <v>1</v>
      </c>
    </row>
    <row r="39" spans="1:10" x14ac:dyDescent="0.25">
      <c r="A39" s="93" t="s">
        <v>11</v>
      </c>
      <c r="B39" s="80">
        <f>Fev!D32</f>
        <v>9.1954022988505746E-2</v>
      </c>
      <c r="C39" s="80">
        <f>Fev!E32</f>
        <v>0.16666666666666666</v>
      </c>
      <c r="D39" s="80">
        <f>Fev!F32</f>
        <v>0.28160919540229884</v>
      </c>
      <c r="E39" s="80">
        <f>Fev!G32</f>
        <v>0</v>
      </c>
      <c r="F39" s="80">
        <f>Fev!H32</f>
        <v>0.28160919540229884</v>
      </c>
      <c r="G39" s="80">
        <f>Fev!I32</f>
        <v>0.17816091954022989</v>
      </c>
      <c r="H39" s="80">
        <f>Fev!J32</f>
        <v>0</v>
      </c>
      <c r="I39" s="81">
        <f t="shared" ref="I39:I49" si="3">SUM(B39:H39)</f>
        <v>0.99999999999999978</v>
      </c>
    </row>
    <row r="40" spans="1:10" x14ac:dyDescent="0.25">
      <c r="A40" s="93" t="s">
        <v>12</v>
      </c>
      <c r="B40" s="80">
        <f>Mar!D32</f>
        <v>0.14847161572052403</v>
      </c>
      <c r="C40" s="80">
        <f>Mar!E32</f>
        <v>0.13100436681222707</v>
      </c>
      <c r="D40" s="80">
        <f>Mar!F32</f>
        <v>0.2576419213973799</v>
      </c>
      <c r="E40" s="80">
        <f>Mar!G32</f>
        <v>0</v>
      </c>
      <c r="F40" s="80">
        <f>Mar!H32</f>
        <v>0.25327510917030566</v>
      </c>
      <c r="G40" s="80">
        <f>Mar!I32</f>
        <v>0.20960698689956331</v>
      </c>
      <c r="H40" s="80">
        <f>Mar!J32</f>
        <v>0</v>
      </c>
      <c r="I40" s="81">
        <f t="shared" si="3"/>
        <v>1</v>
      </c>
    </row>
    <row r="41" spans="1:10" x14ac:dyDescent="0.25">
      <c r="A41" s="93" t="s">
        <v>13</v>
      </c>
      <c r="B41" s="80">
        <f>Abr!D32</f>
        <v>0.15094339622641509</v>
      </c>
      <c r="C41" s="80">
        <f>Abr!E32</f>
        <v>0.14150943396226415</v>
      </c>
      <c r="D41" s="80">
        <f>Abr!F32</f>
        <v>0.26415094339622641</v>
      </c>
      <c r="E41" s="80">
        <f>Abr!G32</f>
        <v>0</v>
      </c>
      <c r="F41" s="80">
        <f>Abr!H32</f>
        <v>0.24056603773584906</v>
      </c>
      <c r="G41" s="80">
        <f>Abr!I32</f>
        <v>0.20283018867924529</v>
      </c>
      <c r="H41" s="80">
        <f>Abr!J32</f>
        <v>0</v>
      </c>
      <c r="I41" s="81">
        <f t="shared" si="3"/>
        <v>1</v>
      </c>
    </row>
    <row r="42" spans="1:10" x14ac:dyDescent="0.25">
      <c r="A42" s="93" t="s">
        <v>14</v>
      </c>
      <c r="B42" s="80">
        <f>Mai!D32</f>
        <v>0.12413793103448276</v>
      </c>
      <c r="C42" s="80">
        <f>Mai!E32</f>
        <v>0.15172413793103448</v>
      </c>
      <c r="D42" s="80">
        <f>Mai!F32</f>
        <v>0.39310344827586208</v>
      </c>
      <c r="E42" s="80">
        <f>Mai!G32</f>
        <v>0</v>
      </c>
      <c r="F42" s="80">
        <f>Mai!H32</f>
        <v>0.11724137931034483</v>
      </c>
      <c r="G42" s="80">
        <f>Mai!I32</f>
        <v>0.21379310344827587</v>
      </c>
      <c r="H42" s="80">
        <f>Mai!J32</f>
        <v>0</v>
      </c>
      <c r="I42" s="81">
        <f t="shared" si="3"/>
        <v>1</v>
      </c>
    </row>
    <row r="43" spans="1:10" x14ac:dyDescent="0.25">
      <c r="A43" s="93" t="s">
        <v>15</v>
      </c>
      <c r="B43" s="80">
        <f>Jun!D32</f>
        <v>0.18274111675126903</v>
      </c>
      <c r="C43" s="80">
        <f>Jun!E32</f>
        <v>0.116751269035533</v>
      </c>
      <c r="D43" s="80">
        <f>Jun!F32</f>
        <v>0.40609137055837563</v>
      </c>
      <c r="E43" s="80">
        <f>Jun!G32</f>
        <v>0</v>
      </c>
      <c r="F43" s="80">
        <f>Jun!H32</f>
        <v>7.1065989847715741E-2</v>
      </c>
      <c r="G43" s="80">
        <f>Jun!I32</f>
        <v>0.2233502538071066</v>
      </c>
      <c r="H43" s="80">
        <f>Jun!J32</f>
        <v>0</v>
      </c>
      <c r="I43" s="81">
        <f t="shared" si="3"/>
        <v>1</v>
      </c>
    </row>
    <row r="44" spans="1:10" x14ac:dyDescent="0.25">
      <c r="A44" s="93" t="s">
        <v>16</v>
      </c>
      <c r="B44" s="80">
        <f>Jul!D32</f>
        <v>0.24519230769230768</v>
      </c>
      <c r="C44" s="80">
        <f>Jul!E32</f>
        <v>0.12980769230769232</v>
      </c>
      <c r="D44" s="80">
        <f>Jul!F32</f>
        <v>0.36538461538461536</v>
      </c>
      <c r="E44" s="80">
        <f>Jul!G32</f>
        <v>0</v>
      </c>
      <c r="F44" s="80">
        <f>Jul!H32</f>
        <v>9.1346153846153841E-2</v>
      </c>
      <c r="G44" s="80">
        <f>Jul!I32</f>
        <v>0.15865384615384615</v>
      </c>
      <c r="H44" s="80">
        <f>Jul!J32</f>
        <v>9.6153846153846159E-3</v>
      </c>
      <c r="I44" s="81">
        <f t="shared" si="3"/>
        <v>1</v>
      </c>
    </row>
    <row r="45" spans="1:10" x14ac:dyDescent="0.25">
      <c r="A45" s="93" t="s">
        <v>17</v>
      </c>
      <c r="B45" s="80">
        <f>Ago!D32</f>
        <v>0.15350877192982457</v>
      </c>
      <c r="C45" s="80">
        <f>Ago!E32</f>
        <v>0.12719298245614036</v>
      </c>
      <c r="D45" s="80">
        <f>Ago!F32</f>
        <v>0.32894736842105265</v>
      </c>
      <c r="E45" s="80">
        <f>Ago!G32</f>
        <v>0</v>
      </c>
      <c r="F45" s="80">
        <f>Ago!H32</f>
        <v>0.21052631578947367</v>
      </c>
      <c r="G45" s="80">
        <f>Ago!I32</f>
        <v>0.17982456140350878</v>
      </c>
      <c r="H45" s="80">
        <f>Ago!J32</f>
        <v>0</v>
      </c>
      <c r="I45" s="81">
        <f t="shared" si="3"/>
        <v>1</v>
      </c>
    </row>
    <row r="46" spans="1:10" x14ac:dyDescent="0.25">
      <c r="A46" s="93" t="s">
        <v>18</v>
      </c>
      <c r="B46" s="80">
        <f>Set!D32</f>
        <v>0.11538461538461539</v>
      </c>
      <c r="C46" s="80">
        <f>Set!E32</f>
        <v>0.15934065934065933</v>
      </c>
      <c r="D46" s="80">
        <f>Set!F32</f>
        <v>0.2087912087912088</v>
      </c>
      <c r="E46" s="80">
        <f>Set!G32</f>
        <v>0</v>
      </c>
      <c r="F46" s="80">
        <f>Set!H32</f>
        <v>8.7912087912087919E-2</v>
      </c>
      <c r="G46" s="80">
        <f>Set!I32</f>
        <v>0.42857142857142855</v>
      </c>
      <c r="H46" s="80">
        <f>Set!J32</f>
        <v>0</v>
      </c>
      <c r="I46" s="81">
        <f t="shared" si="3"/>
        <v>1</v>
      </c>
    </row>
    <row r="47" spans="1:10" x14ac:dyDescent="0.25">
      <c r="A47" s="93" t="s">
        <v>19</v>
      </c>
      <c r="B47" s="80">
        <f>Out!D32</f>
        <v>0</v>
      </c>
      <c r="C47" s="80">
        <f>Out!E32</f>
        <v>0</v>
      </c>
      <c r="D47" s="80">
        <f>Out!F32</f>
        <v>0</v>
      </c>
      <c r="E47" s="80">
        <f>Out!G32</f>
        <v>0</v>
      </c>
      <c r="F47" s="80">
        <f>Out!H32</f>
        <v>0</v>
      </c>
      <c r="G47" s="80">
        <f>Out!I32</f>
        <v>0</v>
      </c>
      <c r="H47" s="80">
        <f>Out!J32</f>
        <v>0</v>
      </c>
      <c r="I47" s="81">
        <f t="shared" si="3"/>
        <v>0</v>
      </c>
    </row>
    <row r="48" spans="1:10" x14ac:dyDescent="0.25">
      <c r="A48" s="93" t="s">
        <v>20</v>
      </c>
      <c r="B48" s="80">
        <f>Nov!D32</f>
        <v>0</v>
      </c>
      <c r="C48" s="80">
        <f>Nov!E32</f>
        <v>0</v>
      </c>
      <c r="D48" s="80">
        <f>Nov!F32</f>
        <v>0</v>
      </c>
      <c r="E48" s="80">
        <f>Nov!G32</f>
        <v>0</v>
      </c>
      <c r="F48" s="80">
        <f>Nov!H32</f>
        <v>0</v>
      </c>
      <c r="G48" s="80">
        <f>Nov!I32</f>
        <v>0</v>
      </c>
      <c r="H48" s="80">
        <f>Nov!J32</f>
        <v>0</v>
      </c>
      <c r="I48" s="81">
        <f t="shared" si="3"/>
        <v>0</v>
      </c>
    </row>
    <row r="49" spans="1:9" ht="15.75" thickBot="1" x14ac:dyDescent="0.3">
      <c r="A49" s="94" t="s">
        <v>21</v>
      </c>
      <c r="B49" s="82">
        <f>Dez!D32</f>
        <v>0</v>
      </c>
      <c r="C49" s="82">
        <f>Dez!E32</f>
        <v>0</v>
      </c>
      <c r="D49" s="82">
        <f>Dez!F32</f>
        <v>0</v>
      </c>
      <c r="E49" s="82">
        <f>Dez!G32</f>
        <v>0</v>
      </c>
      <c r="F49" s="82">
        <f>Dez!H32</f>
        <v>0</v>
      </c>
      <c r="G49" s="82">
        <f>Dez!I32</f>
        <v>0</v>
      </c>
      <c r="H49" s="82">
        <f>Dez!J32</f>
        <v>0</v>
      </c>
      <c r="I49" s="83">
        <f t="shared" si="3"/>
        <v>0</v>
      </c>
    </row>
    <row r="50" spans="1:9" ht="19.5" thickBot="1" x14ac:dyDescent="0.35">
      <c r="A50" s="76" t="s">
        <v>25</v>
      </c>
      <c r="B50" s="84">
        <f>AVERAGE(B38:B46)</f>
        <v>0.14876270999698246</v>
      </c>
      <c r="C50" s="84">
        <f>AVERAGE(C38:C46)</f>
        <v>0.13531941772584727</v>
      </c>
      <c r="D50" s="84">
        <f>AVERAGE(D38:D46)</f>
        <v>0.3119734319948389</v>
      </c>
      <c r="E50" s="84">
        <f>AVERAGE(E38:E49)</f>
        <v>0</v>
      </c>
      <c r="F50" s="84">
        <f>AVERAGE(F38:F46)</f>
        <v>0.18032555823514113</v>
      </c>
      <c r="G50" s="84">
        <f>AVERAGE(G38:G46)</f>
        <v>0.22255050597881412</v>
      </c>
      <c r="H50" s="84">
        <f>AVERAGE(H38:H49)</f>
        <v>8.0128205128205136E-4</v>
      </c>
      <c r="I50" s="77"/>
    </row>
    <row r="51" spans="1:9" ht="19.5" thickBot="1" x14ac:dyDescent="0.35">
      <c r="A51" s="78" t="s">
        <v>24</v>
      </c>
      <c r="B51" s="85">
        <f>D32/C32</f>
        <v>0.15054945054945054</v>
      </c>
      <c r="C51" s="85">
        <f>E32/C32</f>
        <v>0.13296703296703297</v>
      </c>
      <c r="D51" s="85">
        <f>F32/C32</f>
        <v>0.3098901098901099</v>
      </c>
      <c r="E51" s="85">
        <f>(G32*100)/C32</f>
        <v>0</v>
      </c>
      <c r="F51" s="85">
        <f>H32/C32</f>
        <v>0.18571428571428572</v>
      </c>
      <c r="G51" s="85">
        <f>I32/C32</f>
        <v>0.21978021978021978</v>
      </c>
      <c r="H51" s="85">
        <f>J32/C32</f>
        <v>1.0989010989010989E-3</v>
      </c>
      <c r="I51" s="89">
        <f>SUM(B51:H51)</f>
        <v>1</v>
      </c>
    </row>
  </sheetData>
  <mergeCells count="3">
    <mergeCell ref="A1:J1"/>
    <mergeCell ref="A18:J18"/>
    <mergeCell ref="A36:I36"/>
  </mergeCells>
  <phoneticPr fontId="7" type="noConversion"/>
  <conditionalFormatting sqref="B20:B31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D49 F38:G4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31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:D21 E21:F21 D23:D31 D22:F22 H21:I22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3:E31 E20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:E49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3:F31 F20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0:G3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3:H31 H20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:H4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3:I31 I20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0:J3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1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1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1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1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G15 G33 E5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7565-F433-4862-8587-6577AC7476B2}">
  <dimension ref="A1:I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5" x14ac:dyDescent="0.25"/>
  <cols>
    <col min="1" max="1" width="40.85546875" style="21" customWidth="1"/>
    <col min="2" max="2" width="13.5703125" style="9" bestFit="1" customWidth="1"/>
    <col min="3" max="3" width="14.85546875" style="9" bestFit="1" customWidth="1"/>
    <col min="4" max="4" width="15.140625" style="9" bestFit="1" customWidth="1"/>
    <col min="5" max="5" width="13.42578125" style="9" bestFit="1" customWidth="1"/>
    <col min="6" max="6" width="13.7109375" style="9" bestFit="1" customWidth="1"/>
    <col min="7" max="7" width="18.140625" style="9" customWidth="1"/>
    <col min="8" max="8" width="20.5703125" style="9" bestFit="1" customWidth="1"/>
    <col min="9" max="9" width="13.28515625" style="9" bestFit="1" customWidth="1"/>
    <col min="10" max="16384" width="9.140625" style="9"/>
  </cols>
  <sheetData>
    <row r="1" spans="1:9" s="20" customFormat="1" ht="16.5" x14ac:dyDescent="0.25">
      <c r="A1" s="26" t="s">
        <v>28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</row>
    <row r="2" spans="1:9" ht="16.5" x14ac:dyDescent="0.25">
      <c r="A2" s="12" t="s">
        <v>29</v>
      </c>
      <c r="B2" s="12">
        <v>29</v>
      </c>
      <c r="C2" s="12">
        <v>6</v>
      </c>
      <c r="D2" s="12">
        <v>1</v>
      </c>
      <c r="E2" s="12">
        <v>1</v>
      </c>
      <c r="F2" s="12">
        <v>1</v>
      </c>
      <c r="G2" s="12">
        <v>0</v>
      </c>
      <c r="H2" s="12">
        <v>2</v>
      </c>
      <c r="I2" s="12">
        <v>1</v>
      </c>
    </row>
    <row r="3" spans="1:9" ht="16.5" x14ac:dyDescent="0.25">
      <c r="A3" s="12" t="s">
        <v>30</v>
      </c>
      <c r="B3" s="12">
        <v>7</v>
      </c>
      <c r="C3" s="12">
        <v>29</v>
      </c>
      <c r="D3" s="12">
        <v>2</v>
      </c>
      <c r="E3" s="12">
        <v>1</v>
      </c>
      <c r="F3" s="12">
        <v>11</v>
      </c>
      <c r="G3" s="12">
        <v>0</v>
      </c>
      <c r="H3" s="12">
        <v>12</v>
      </c>
      <c r="I3" s="12">
        <v>3</v>
      </c>
    </row>
    <row r="4" spans="1:9" ht="16.5" x14ac:dyDescent="0.25">
      <c r="A4" s="12" t="s">
        <v>31</v>
      </c>
      <c r="B4" s="12">
        <v>14</v>
      </c>
      <c r="C4" s="12">
        <v>21</v>
      </c>
      <c r="D4" s="12">
        <v>1</v>
      </c>
      <c r="E4" s="12">
        <v>8</v>
      </c>
      <c r="F4" s="12">
        <v>3</v>
      </c>
      <c r="G4" s="12">
        <v>0</v>
      </c>
      <c r="H4" s="12">
        <v>0</v>
      </c>
      <c r="I4" s="12">
        <v>9</v>
      </c>
    </row>
    <row r="5" spans="1:9" ht="16.5" x14ac:dyDescent="0.25">
      <c r="A5" s="12" t="s">
        <v>32</v>
      </c>
      <c r="B5" s="12">
        <v>25</v>
      </c>
      <c r="C5" s="12">
        <v>9</v>
      </c>
      <c r="D5" s="12">
        <v>2</v>
      </c>
      <c r="E5" s="12">
        <v>2</v>
      </c>
      <c r="F5" s="12">
        <v>2</v>
      </c>
      <c r="G5" s="12">
        <v>0</v>
      </c>
      <c r="H5" s="12">
        <v>0</v>
      </c>
      <c r="I5" s="12">
        <v>3</v>
      </c>
    </row>
    <row r="6" spans="1:9" ht="16.5" x14ac:dyDescent="0.25">
      <c r="A6" s="12" t="s">
        <v>33</v>
      </c>
      <c r="B6" s="12">
        <v>11</v>
      </c>
      <c r="C6" s="12">
        <v>24</v>
      </c>
      <c r="D6" s="12">
        <v>3</v>
      </c>
      <c r="E6" s="12">
        <v>0</v>
      </c>
      <c r="F6" s="12">
        <v>4</v>
      </c>
      <c r="G6" s="12">
        <v>0</v>
      </c>
      <c r="H6" s="12">
        <v>17</v>
      </c>
      <c r="I6" s="12">
        <v>0</v>
      </c>
    </row>
    <row r="7" spans="1:9" ht="16.5" x14ac:dyDescent="0.25">
      <c r="A7" s="12" t="s">
        <v>34</v>
      </c>
      <c r="B7" s="12">
        <v>5</v>
      </c>
      <c r="C7" s="12">
        <v>8</v>
      </c>
      <c r="D7" s="12">
        <v>3</v>
      </c>
      <c r="E7" s="12">
        <v>0</v>
      </c>
      <c r="F7" s="12">
        <v>3</v>
      </c>
      <c r="G7" s="12">
        <v>0</v>
      </c>
      <c r="H7" s="12">
        <v>1</v>
      </c>
      <c r="I7" s="12">
        <v>1</v>
      </c>
    </row>
    <row r="8" spans="1:9" ht="16.5" x14ac:dyDescent="0.25">
      <c r="A8" s="12" t="s">
        <v>35</v>
      </c>
      <c r="B8" s="12">
        <v>9</v>
      </c>
      <c r="C8" s="12">
        <v>6</v>
      </c>
      <c r="D8" s="12">
        <v>0</v>
      </c>
      <c r="E8" s="12">
        <v>0</v>
      </c>
      <c r="F8" s="12">
        <v>2</v>
      </c>
      <c r="G8" s="12">
        <v>0</v>
      </c>
      <c r="H8" s="12">
        <v>1</v>
      </c>
      <c r="I8" s="12">
        <v>3</v>
      </c>
    </row>
    <row r="9" spans="1:9" ht="16.5" x14ac:dyDescent="0.25">
      <c r="A9" s="12" t="s">
        <v>36</v>
      </c>
      <c r="B9" s="12">
        <v>11</v>
      </c>
      <c r="C9" s="12">
        <v>11</v>
      </c>
      <c r="D9" s="12">
        <v>4</v>
      </c>
      <c r="E9" s="12">
        <v>0</v>
      </c>
      <c r="F9" s="12">
        <v>3</v>
      </c>
      <c r="G9" s="12">
        <v>0</v>
      </c>
      <c r="H9" s="12">
        <v>0</v>
      </c>
      <c r="I9" s="12">
        <v>4</v>
      </c>
    </row>
    <row r="10" spans="1:9" ht="16.5" x14ac:dyDescent="0.25">
      <c r="A10" s="12" t="s">
        <v>37</v>
      </c>
      <c r="B10" s="12">
        <v>5</v>
      </c>
      <c r="C10" s="12">
        <v>9</v>
      </c>
      <c r="D10" s="12">
        <v>0</v>
      </c>
      <c r="E10" s="12">
        <v>0</v>
      </c>
      <c r="F10" s="12">
        <v>1</v>
      </c>
      <c r="G10" s="12">
        <v>0</v>
      </c>
      <c r="H10" s="12">
        <v>7</v>
      </c>
      <c r="I10" s="12">
        <v>1</v>
      </c>
    </row>
    <row r="11" spans="1:9" ht="16.5" x14ac:dyDescent="0.25">
      <c r="A11" s="12" t="s">
        <v>38</v>
      </c>
      <c r="B11" s="12">
        <v>1</v>
      </c>
      <c r="C11" s="12">
        <v>2</v>
      </c>
      <c r="D11" s="12">
        <v>2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 spans="1:9" ht="16.5" x14ac:dyDescent="0.25">
      <c r="A12" s="12" t="s">
        <v>39</v>
      </c>
      <c r="B12" s="12">
        <v>1</v>
      </c>
      <c r="C12" s="12">
        <v>1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1</v>
      </c>
    </row>
    <row r="13" spans="1:9" ht="16.5" x14ac:dyDescent="0.25">
      <c r="A13" s="12" t="s">
        <v>40</v>
      </c>
      <c r="B13" s="12">
        <v>7</v>
      </c>
      <c r="C13" s="12">
        <v>6</v>
      </c>
      <c r="D13" s="12">
        <v>2</v>
      </c>
      <c r="E13" s="12">
        <v>0</v>
      </c>
      <c r="F13" s="12">
        <v>3</v>
      </c>
      <c r="G13" s="12">
        <v>0</v>
      </c>
      <c r="H13" s="12">
        <v>0</v>
      </c>
      <c r="I13" s="12">
        <v>1</v>
      </c>
    </row>
    <row r="14" spans="1:9" ht="16.5" x14ac:dyDescent="0.25">
      <c r="A14" s="12" t="s">
        <v>41</v>
      </c>
      <c r="B14" s="12">
        <v>10</v>
      </c>
      <c r="C14" s="12">
        <v>8</v>
      </c>
      <c r="D14" s="12">
        <v>2</v>
      </c>
      <c r="E14" s="12">
        <v>0</v>
      </c>
      <c r="F14" s="12">
        <v>5</v>
      </c>
      <c r="G14" s="12">
        <v>0</v>
      </c>
      <c r="H14" s="12">
        <v>0</v>
      </c>
      <c r="I14" s="12">
        <v>1</v>
      </c>
    </row>
    <row r="15" spans="1:9" ht="16.5" x14ac:dyDescent="0.25">
      <c r="A15" s="12" t="s">
        <v>42</v>
      </c>
      <c r="B15" s="12">
        <v>11</v>
      </c>
      <c r="C15" s="12">
        <v>5</v>
      </c>
      <c r="D15" s="12">
        <v>3</v>
      </c>
      <c r="E15" s="12">
        <v>0</v>
      </c>
      <c r="F15" s="12">
        <v>2</v>
      </c>
      <c r="G15" s="12">
        <v>0</v>
      </c>
      <c r="H15" s="12">
        <v>0</v>
      </c>
      <c r="I15" s="12">
        <v>0</v>
      </c>
    </row>
    <row r="16" spans="1:9" ht="16.5" x14ac:dyDescent="0.25">
      <c r="A16" s="12" t="s">
        <v>43</v>
      </c>
      <c r="B16" s="12">
        <v>16</v>
      </c>
      <c r="C16" s="12">
        <v>13</v>
      </c>
      <c r="D16" s="12">
        <v>4</v>
      </c>
      <c r="E16" s="12">
        <v>0</v>
      </c>
      <c r="F16" s="12">
        <v>5</v>
      </c>
      <c r="G16" s="12">
        <v>0</v>
      </c>
      <c r="H16" s="12">
        <v>1</v>
      </c>
      <c r="I16" s="12">
        <v>3</v>
      </c>
    </row>
    <row r="17" spans="1:9" ht="16.5" x14ac:dyDescent="0.25">
      <c r="A17" s="12" t="s">
        <v>44</v>
      </c>
      <c r="B17" s="12">
        <v>8</v>
      </c>
      <c r="C17" s="12">
        <v>4</v>
      </c>
      <c r="D17" s="12">
        <v>0</v>
      </c>
      <c r="E17" s="12">
        <v>0</v>
      </c>
      <c r="F17" s="12">
        <v>1</v>
      </c>
      <c r="G17" s="12">
        <v>0</v>
      </c>
      <c r="H17" s="12">
        <v>2</v>
      </c>
      <c r="I17" s="12">
        <v>1</v>
      </c>
    </row>
    <row r="18" spans="1:9" ht="16.5" x14ac:dyDescent="0.25">
      <c r="A18" s="12" t="s">
        <v>45</v>
      </c>
      <c r="B18" s="12">
        <v>1</v>
      </c>
      <c r="C18" s="12">
        <v>2</v>
      </c>
      <c r="D18" s="12">
        <v>2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1:9" ht="16.5" x14ac:dyDescent="0.25">
      <c r="A19" s="12" t="s">
        <v>46</v>
      </c>
      <c r="B19" s="12">
        <v>15</v>
      </c>
      <c r="C19" s="12">
        <v>11</v>
      </c>
      <c r="D19" s="12">
        <v>0</v>
      </c>
      <c r="E19" s="12">
        <v>1</v>
      </c>
      <c r="F19" s="12">
        <v>8</v>
      </c>
      <c r="G19" s="12">
        <v>0</v>
      </c>
      <c r="H19" s="12">
        <v>1</v>
      </c>
      <c r="I19" s="12">
        <v>1</v>
      </c>
    </row>
    <row r="20" spans="1:9" ht="16.5" x14ac:dyDescent="0.25">
      <c r="A20" s="12" t="s">
        <v>47</v>
      </c>
      <c r="B20" s="12">
        <v>3</v>
      </c>
      <c r="C20" s="12">
        <v>8</v>
      </c>
      <c r="D20" s="12">
        <v>0</v>
      </c>
      <c r="E20" s="12">
        <v>0</v>
      </c>
      <c r="F20" s="12">
        <v>2</v>
      </c>
      <c r="G20" s="12">
        <v>0</v>
      </c>
      <c r="H20" s="12">
        <v>1</v>
      </c>
      <c r="I20" s="12">
        <v>5</v>
      </c>
    </row>
    <row r="21" spans="1:9" ht="16.5" x14ac:dyDescent="0.25">
      <c r="A21" s="12" t="s">
        <v>48</v>
      </c>
      <c r="B21" s="12">
        <v>10</v>
      </c>
      <c r="C21" s="12">
        <v>11</v>
      </c>
      <c r="D21" s="12">
        <v>0</v>
      </c>
      <c r="E21" s="12">
        <v>0</v>
      </c>
      <c r="F21" s="12">
        <v>8</v>
      </c>
      <c r="G21" s="12">
        <v>0</v>
      </c>
      <c r="H21" s="12">
        <v>1</v>
      </c>
      <c r="I21" s="12">
        <v>2</v>
      </c>
    </row>
    <row r="22" spans="1:9" ht="16.5" x14ac:dyDescent="0.25">
      <c r="A22" s="12" t="s">
        <v>49</v>
      </c>
      <c r="B22" s="12">
        <v>0</v>
      </c>
      <c r="C22" s="12">
        <v>4</v>
      </c>
      <c r="D22" s="12">
        <v>0</v>
      </c>
      <c r="E22" s="12">
        <v>4</v>
      </c>
      <c r="F22" s="12">
        <v>0</v>
      </c>
      <c r="G22" s="12">
        <v>0</v>
      </c>
      <c r="H22" s="12">
        <v>0</v>
      </c>
      <c r="I22" s="12">
        <v>0</v>
      </c>
    </row>
    <row r="23" spans="1:9" ht="16.5" x14ac:dyDescent="0.25">
      <c r="A23" s="12" t="s">
        <v>50</v>
      </c>
      <c r="B23" s="12">
        <v>10</v>
      </c>
      <c r="C23" s="12">
        <v>5</v>
      </c>
      <c r="D23" s="12">
        <v>0</v>
      </c>
      <c r="E23" s="12">
        <v>1</v>
      </c>
      <c r="F23" s="12">
        <v>0</v>
      </c>
      <c r="G23" s="12">
        <v>0</v>
      </c>
      <c r="H23" s="12">
        <v>1</v>
      </c>
      <c r="I23" s="12">
        <v>3</v>
      </c>
    </row>
    <row r="24" spans="1:9" ht="16.5" x14ac:dyDescent="0.25">
      <c r="A24" s="12" t="s">
        <v>51</v>
      </c>
      <c r="B24" s="12">
        <v>12</v>
      </c>
      <c r="C24" s="12">
        <v>9</v>
      </c>
      <c r="D24" s="12">
        <v>0</v>
      </c>
      <c r="E24" s="12">
        <v>1</v>
      </c>
      <c r="F24" s="12">
        <v>0</v>
      </c>
      <c r="G24" s="12">
        <v>0</v>
      </c>
      <c r="H24" s="12">
        <v>1</v>
      </c>
      <c r="I24" s="12">
        <v>7</v>
      </c>
    </row>
    <row r="25" spans="1:9" ht="16.5" x14ac:dyDescent="0.25">
      <c r="A25" s="12" t="s">
        <v>52</v>
      </c>
      <c r="B25" s="12">
        <v>21</v>
      </c>
      <c r="C25" s="12">
        <v>25</v>
      </c>
      <c r="D25" s="12">
        <v>0</v>
      </c>
      <c r="E25" s="12">
        <v>2</v>
      </c>
      <c r="F25" s="12">
        <v>4</v>
      </c>
      <c r="G25" s="12">
        <v>0</v>
      </c>
      <c r="H25" s="12">
        <v>18</v>
      </c>
      <c r="I25" s="12">
        <v>1</v>
      </c>
    </row>
    <row r="26" spans="1:9" ht="16.5" x14ac:dyDescent="0.25">
      <c r="A26" s="12" t="s">
        <v>53</v>
      </c>
      <c r="B26" s="12">
        <v>16</v>
      </c>
      <c r="C26" s="12">
        <v>8</v>
      </c>
      <c r="D26" s="12">
        <v>0</v>
      </c>
      <c r="E26" s="12">
        <v>2</v>
      </c>
      <c r="F26" s="12">
        <v>6</v>
      </c>
      <c r="G26" s="12">
        <v>0</v>
      </c>
      <c r="H26" s="12">
        <v>0</v>
      </c>
      <c r="I26" s="12">
        <v>0</v>
      </c>
    </row>
    <row r="27" spans="1:9" x14ac:dyDescent="0.25">
      <c r="A27" s="9"/>
    </row>
    <row r="28" spans="1:9" x14ac:dyDescent="0.25">
      <c r="A28" s="9"/>
    </row>
    <row r="29" spans="1:9" x14ac:dyDescent="0.25">
      <c r="A29" s="9"/>
    </row>
    <row r="30" spans="1:9" ht="18.75" x14ac:dyDescent="0.3">
      <c r="A30" s="2" t="s">
        <v>0</v>
      </c>
      <c r="B30" s="1">
        <f>AVERAGE(B2:B29)</f>
        <v>10.32</v>
      </c>
      <c r="C30" s="1">
        <f t="shared" ref="C30:I30" si="0">AVERAGE(C2:C29)</f>
        <v>9.8000000000000007</v>
      </c>
      <c r="D30" s="1">
        <f t="shared" si="0"/>
        <v>1.24</v>
      </c>
      <c r="E30" s="1">
        <f t="shared" si="0"/>
        <v>0.92</v>
      </c>
      <c r="F30" s="1">
        <f t="shared" si="0"/>
        <v>2.96</v>
      </c>
      <c r="G30" s="1">
        <f t="shared" si="0"/>
        <v>0</v>
      </c>
      <c r="H30" s="1">
        <f t="shared" si="0"/>
        <v>2.64</v>
      </c>
      <c r="I30" s="1">
        <f t="shared" si="0"/>
        <v>2.04</v>
      </c>
    </row>
    <row r="31" spans="1:9" ht="18.75" x14ac:dyDescent="0.3">
      <c r="A31" s="3" t="s">
        <v>23</v>
      </c>
      <c r="B31" s="4">
        <f>SUM(B2:B29)</f>
        <v>258</v>
      </c>
      <c r="C31" s="4">
        <f t="shared" ref="C31:I31" si="1">SUM(C2:C29)</f>
        <v>245</v>
      </c>
      <c r="D31" s="4">
        <f t="shared" si="1"/>
        <v>31</v>
      </c>
      <c r="E31" s="4">
        <f t="shared" si="1"/>
        <v>23</v>
      </c>
      <c r="F31" s="4">
        <f t="shared" si="1"/>
        <v>74</v>
      </c>
      <c r="G31" s="4">
        <f t="shared" si="1"/>
        <v>0</v>
      </c>
      <c r="H31" s="4">
        <f t="shared" si="1"/>
        <v>66</v>
      </c>
      <c r="I31" s="4">
        <f t="shared" si="1"/>
        <v>51</v>
      </c>
    </row>
    <row r="32" spans="1:9" ht="18.75" x14ac:dyDescent="0.3">
      <c r="A32" s="5" t="s">
        <v>26</v>
      </c>
      <c r="D32" s="79">
        <f>D31/C31</f>
        <v>0.12653061224489795</v>
      </c>
      <c r="E32" s="79">
        <f>E31/C31</f>
        <v>9.3877551020408165E-2</v>
      </c>
      <c r="F32" s="79">
        <f>F31/C31</f>
        <v>0.30204081632653063</v>
      </c>
      <c r="G32" s="79">
        <f>G31/C31</f>
        <v>0</v>
      </c>
      <c r="H32" s="79">
        <f>H31/C31</f>
        <v>0.26938775510204083</v>
      </c>
      <c r="I32" s="79">
        <f>I31/C31</f>
        <v>0.20816326530612245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5" x14ac:dyDescent="0.25"/>
  <cols>
    <col min="1" max="1" width="45.28515625" style="21" customWidth="1"/>
    <col min="2" max="2" width="17.140625" style="23" customWidth="1"/>
    <col min="3" max="3" width="19" style="23" customWidth="1"/>
    <col min="4" max="4" width="17.7109375" style="23" customWidth="1"/>
    <col min="5" max="5" width="16.85546875" style="23" customWidth="1"/>
    <col min="6" max="6" width="17.140625" style="23" customWidth="1"/>
    <col min="7" max="7" width="17.7109375" style="23" customWidth="1"/>
    <col min="8" max="8" width="22" style="23" customWidth="1"/>
    <col min="9" max="9" width="19.28515625" style="23" customWidth="1"/>
    <col min="10" max="16384" width="9.140625" style="9"/>
  </cols>
  <sheetData>
    <row r="1" spans="1:9" s="20" customFormat="1" ht="16.5" x14ac:dyDescent="0.25">
      <c r="A1" s="26" t="s">
        <v>28</v>
      </c>
      <c r="B1" s="86" t="s">
        <v>2</v>
      </c>
      <c r="C1" s="86" t="s">
        <v>3</v>
      </c>
      <c r="D1" s="86" t="s">
        <v>4</v>
      </c>
      <c r="E1" s="86" t="s">
        <v>5</v>
      </c>
      <c r="F1" s="86" t="s">
        <v>6</v>
      </c>
      <c r="G1" s="86" t="s">
        <v>7</v>
      </c>
      <c r="H1" s="86" t="s">
        <v>8</v>
      </c>
      <c r="I1" s="86" t="s">
        <v>9</v>
      </c>
    </row>
    <row r="2" spans="1:9" ht="16.5" x14ac:dyDescent="0.25">
      <c r="A2" s="12" t="s">
        <v>54</v>
      </c>
      <c r="B2" s="12">
        <v>9</v>
      </c>
      <c r="C2" s="12">
        <v>9</v>
      </c>
      <c r="D2" s="12">
        <v>0</v>
      </c>
      <c r="E2" s="12">
        <v>5</v>
      </c>
      <c r="F2" s="12">
        <v>2</v>
      </c>
      <c r="G2" s="12">
        <v>0</v>
      </c>
      <c r="H2" s="12">
        <v>0</v>
      </c>
      <c r="I2" s="12">
        <v>2</v>
      </c>
    </row>
    <row r="3" spans="1:9" ht="16.5" x14ac:dyDescent="0.25">
      <c r="A3" s="12" t="s">
        <v>55</v>
      </c>
      <c r="B3" s="12">
        <v>15</v>
      </c>
      <c r="C3" s="12">
        <v>9</v>
      </c>
      <c r="D3" s="12">
        <v>0</v>
      </c>
      <c r="E3" s="12">
        <v>0</v>
      </c>
      <c r="F3" s="12">
        <v>3</v>
      </c>
      <c r="G3" s="12">
        <v>0</v>
      </c>
      <c r="H3" s="12">
        <v>3</v>
      </c>
      <c r="I3" s="12">
        <v>3</v>
      </c>
    </row>
    <row r="4" spans="1:9" ht="16.5" x14ac:dyDescent="0.25">
      <c r="A4" s="12" t="s">
        <v>56</v>
      </c>
      <c r="B4" s="12">
        <v>3</v>
      </c>
      <c r="C4" s="12">
        <v>1</v>
      </c>
      <c r="D4" s="12">
        <v>0</v>
      </c>
      <c r="E4" s="12">
        <v>0</v>
      </c>
      <c r="F4" s="12">
        <v>1</v>
      </c>
      <c r="G4" s="12">
        <v>0</v>
      </c>
      <c r="H4" s="12">
        <v>0</v>
      </c>
      <c r="I4" s="12">
        <v>0</v>
      </c>
    </row>
    <row r="5" spans="1:9" ht="16.5" x14ac:dyDescent="0.25">
      <c r="A5" s="12" t="s">
        <v>57</v>
      </c>
      <c r="B5" s="12">
        <v>0</v>
      </c>
      <c r="C5" s="12">
        <v>1</v>
      </c>
      <c r="D5" s="12">
        <v>0</v>
      </c>
      <c r="E5" s="12">
        <v>1</v>
      </c>
      <c r="F5" s="12">
        <v>0</v>
      </c>
      <c r="G5" s="12">
        <v>0</v>
      </c>
      <c r="H5" s="12">
        <v>0</v>
      </c>
      <c r="I5" s="12">
        <v>0</v>
      </c>
    </row>
    <row r="6" spans="1:9" ht="16.5" x14ac:dyDescent="0.25">
      <c r="A6" s="12" t="s">
        <v>58</v>
      </c>
      <c r="B6" s="12">
        <v>9</v>
      </c>
      <c r="C6" s="12">
        <v>11</v>
      </c>
      <c r="D6" s="12">
        <v>1</v>
      </c>
      <c r="E6" s="12">
        <v>3</v>
      </c>
      <c r="F6" s="12">
        <v>3</v>
      </c>
      <c r="G6" s="12">
        <v>0</v>
      </c>
      <c r="H6" s="12">
        <v>0</v>
      </c>
      <c r="I6" s="12">
        <v>4</v>
      </c>
    </row>
    <row r="7" spans="1:9" ht="16.5" x14ac:dyDescent="0.25">
      <c r="A7" s="12" t="s">
        <v>59</v>
      </c>
      <c r="B7" s="12">
        <v>18</v>
      </c>
      <c r="C7" s="12">
        <v>11</v>
      </c>
      <c r="D7" s="12">
        <v>0</v>
      </c>
      <c r="E7" s="12">
        <v>0</v>
      </c>
      <c r="F7" s="12">
        <v>4</v>
      </c>
      <c r="G7" s="12">
        <v>0</v>
      </c>
      <c r="H7" s="12">
        <v>2</v>
      </c>
      <c r="I7" s="12">
        <v>5</v>
      </c>
    </row>
    <row r="8" spans="1:9" ht="16.5" x14ac:dyDescent="0.25">
      <c r="A8" s="12" t="s">
        <v>60</v>
      </c>
      <c r="B8" s="12">
        <v>15</v>
      </c>
      <c r="C8" s="12">
        <v>3</v>
      </c>
      <c r="D8" s="12">
        <v>0</v>
      </c>
      <c r="E8" s="12">
        <v>0</v>
      </c>
      <c r="F8" s="12">
        <v>2</v>
      </c>
      <c r="G8" s="12">
        <v>0</v>
      </c>
      <c r="H8" s="12">
        <v>1</v>
      </c>
      <c r="I8" s="12">
        <v>0</v>
      </c>
    </row>
    <row r="9" spans="1:9" ht="16.5" x14ac:dyDescent="0.25">
      <c r="A9" s="12" t="s">
        <v>61</v>
      </c>
      <c r="B9" s="12">
        <v>4</v>
      </c>
      <c r="C9" s="12">
        <v>6</v>
      </c>
      <c r="D9" s="12">
        <v>0</v>
      </c>
      <c r="E9" s="12">
        <v>3</v>
      </c>
      <c r="F9" s="12">
        <v>2</v>
      </c>
      <c r="G9" s="12">
        <v>0</v>
      </c>
      <c r="H9" s="12">
        <v>1</v>
      </c>
      <c r="I9" s="12">
        <v>0</v>
      </c>
    </row>
    <row r="10" spans="1:9" ht="16.5" x14ac:dyDescent="0.25">
      <c r="A10" s="12" t="s">
        <v>62</v>
      </c>
      <c r="B10" s="12">
        <v>11</v>
      </c>
      <c r="C10" s="12">
        <v>13</v>
      </c>
      <c r="D10" s="12">
        <v>0</v>
      </c>
      <c r="E10" s="12">
        <v>5</v>
      </c>
      <c r="F10" s="12">
        <v>6</v>
      </c>
      <c r="G10" s="12">
        <v>0</v>
      </c>
      <c r="H10" s="12">
        <v>0</v>
      </c>
      <c r="I10" s="12">
        <v>2</v>
      </c>
    </row>
    <row r="11" spans="1:9" ht="16.5" x14ac:dyDescent="0.25">
      <c r="A11" s="12" t="s">
        <v>63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 spans="1:9" ht="16.5" x14ac:dyDescent="0.25">
      <c r="A12" s="12" t="s">
        <v>64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1:9" ht="16.5" x14ac:dyDescent="0.25">
      <c r="A13" s="12" t="s">
        <v>65</v>
      </c>
      <c r="B13" s="12">
        <v>4</v>
      </c>
      <c r="C13" s="12">
        <v>6</v>
      </c>
      <c r="D13" s="12">
        <v>0</v>
      </c>
      <c r="E13" s="12">
        <v>0</v>
      </c>
      <c r="F13" s="12">
        <v>2</v>
      </c>
      <c r="G13" s="12">
        <v>0</v>
      </c>
      <c r="H13" s="12">
        <v>1</v>
      </c>
      <c r="I13" s="12">
        <v>3</v>
      </c>
    </row>
    <row r="14" spans="1:9" ht="16.5" x14ac:dyDescent="0.25">
      <c r="A14" s="12" t="s">
        <v>66</v>
      </c>
      <c r="B14" s="12">
        <v>20</v>
      </c>
      <c r="C14" s="12">
        <v>21</v>
      </c>
      <c r="D14" s="12">
        <v>3</v>
      </c>
      <c r="E14" s="12">
        <v>1</v>
      </c>
      <c r="F14" s="12">
        <v>0</v>
      </c>
      <c r="G14" s="12">
        <v>0</v>
      </c>
      <c r="H14" s="12">
        <v>16</v>
      </c>
      <c r="I14" s="12">
        <v>1</v>
      </c>
    </row>
    <row r="15" spans="1:9" ht="16.5" x14ac:dyDescent="0.25">
      <c r="A15" s="12" t="s">
        <v>67</v>
      </c>
      <c r="B15" s="12">
        <v>7</v>
      </c>
      <c r="C15" s="12">
        <v>11</v>
      </c>
      <c r="D15" s="12">
        <v>4</v>
      </c>
      <c r="E15" s="12">
        <v>2</v>
      </c>
      <c r="F15" s="12">
        <v>1</v>
      </c>
      <c r="G15" s="12">
        <v>0</v>
      </c>
      <c r="H15" s="12">
        <v>2</v>
      </c>
      <c r="I15" s="12">
        <v>2</v>
      </c>
    </row>
    <row r="16" spans="1:9" ht="16.5" x14ac:dyDescent="0.25">
      <c r="A16" s="12" t="s">
        <v>68</v>
      </c>
      <c r="B16" s="12">
        <v>6</v>
      </c>
      <c r="C16" s="12">
        <v>4</v>
      </c>
      <c r="D16" s="12">
        <v>1</v>
      </c>
      <c r="E16" s="12">
        <v>0</v>
      </c>
      <c r="F16" s="12">
        <v>1</v>
      </c>
      <c r="G16" s="12">
        <v>0</v>
      </c>
      <c r="H16" s="12">
        <v>1</v>
      </c>
      <c r="I16" s="12">
        <v>1</v>
      </c>
    </row>
    <row r="17" spans="1:10" ht="16.5" x14ac:dyDescent="0.25">
      <c r="A17" s="12" t="s">
        <v>69</v>
      </c>
      <c r="B17" s="12">
        <v>7</v>
      </c>
      <c r="C17" s="12">
        <v>17</v>
      </c>
      <c r="D17" s="12">
        <v>2</v>
      </c>
      <c r="E17" s="12">
        <v>0</v>
      </c>
      <c r="F17" s="12">
        <v>2</v>
      </c>
      <c r="G17" s="12">
        <v>0</v>
      </c>
      <c r="H17" s="12">
        <v>12</v>
      </c>
      <c r="I17" s="12">
        <v>1</v>
      </c>
    </row>
    <row r="18" spans="1:10" ht="16.5" x14ac:dyDescent="0.25">
      <c r="A18" s="12" t="s">
        <v>70</v>
      </c>
      <c r="B18" s="12">
        <v>5</v>
      </c>
      <c r="C18" s="12">
        <v>8</v>
      </c>
      <c r="D18" s="12">
        <v>2</v>
      </c>
      <c r="E18" s="12">
        <v>2</v>
      </c>
      <c r="F18" s="12">
        <v>3</v>
      </c>
      <c r="G18" s="12">
        <v>0</v>
      </c>
      <c r="H18" s="12">
        <v>1</v>
      </c>
      <c r="I18" s="12">
        <v>0</v>
      </c>
    </row>
    <row r="19" spans="1:10" ht="16.5" x14ac:dyDescent="0.25">
      <c r="A19" s="12" t="s">
        <v>71</v>
      </c>
      <c r="B19" s="12">
        <v>6</v>
      </c>
      <c r="C19" s="12">
        <v>6</v>
      </c>
      <c r="D19" s="12">
        <v>1</v>
      </c>
      <c r="E19" s="12">
        <v>0</v>
      </c>
      <c r="F19" s="12">
        <v>0</v>
      </c>
      <c r="G19" s="12">
        <v>0</v>
      </c>
      <c r="H19" s="12">
        <v>3</v>
      </c>
      <c r="I19" s="12">
        <v>2</v>
      </c>
    </row>
    <row r="20" spans="1:10" ht="16.5" x14ac:dyDescent="0.25">
      <c r="A20" s="12" t="s">
        <v>72</v>
      </c>
      <c r="B20" s="12">
        <v>5</v>
      </c>
      <c r="C20" s="12">
        <v>2</v>
      </c>
      <c r="D20" s="12">
        <v>0</v>
      </c>
      <c r="E20" s="12">
        <v>0</v>
      </c>
      <c r="F20" s="12">
        <v>2</v>
      </c>
      <c r="G20" s="12">
        <v>0</v>
      </c>
      <c r="H20" s="12">
        <v>0</v>
      </c>
      <c r="I20" s="12">
        <v>0</v>
      </c>
    </row>
    <row r="21" spans="1:10" ht="16.5" x14ac:dyDescent="0.25">
      <c r="A21" s="12" t="s">
        <v>73</v>
      </c>
      <c r="B21" s="12">
        <v>11</v>
      </c>
      <c r="C21" s="12">
        <v>7</v>
      </c>
      <c r="D21" s="12">
        <v>0</v>
      </c>
      <c r="E21" s="12">
        <v>1</v>
      </c>
      <c r="F21" s="12">
        <v>3</v>
      </c>
      <c r="G21" s="12">
        <v>0</v>
      </c>
      <c r="H21" s="12">
        <v>2</v>
      </c>
      <c r="I21" s="12">
        <v>1</v>
      </c>
    </row>
    <row r="22" spans="1:10" ht="16.5" x14ac:dyDescent="0.25">
      <c r="A22" s="12" t="s">
        <v>74</v>
      </c>
      <c r="B22" s="12">
        <v>11</v>
      </c>
      <c r="C22" s="12">
        <v>8</v>
      </c>
      <c r="D22" s="12">
        <v>1</v>
      </c>
      <c r="E22" s="12">
        <v>2</v>
      </c>
      <c r="F22" s="12">
        <v>4</v>
      </c>
      <c r="G22" s="12">
        <v>0</v>
      </c>
      <c r="H22" s="12">
        <v>1</v>
      </c>
      <c r="I22" s="12">
        <v>0</v>
      </c>
    </row>
    <row r="23" spans="1:10" ht="16.5" x14ac:dyDescent="0.25">
      <c r="A23" s="12" t="s">
        <v>75</v>
      </c>
      <c r="B23" s="12">
        <v>9</v>
      </c>
      <c r="C23" s="12">
        <v>14</v>
      </c>
      <c r="D23" s="12">
        <v>1</v>
      </c>
      <c r="E23" s="12">
        <v>4</v>
      </c>
      <c r="F23" s="12">
        <v>5</v>
      </c>
      <c r="G23" s="12">
        <v>0</v>
      </c>
      <c r="H23" s="12">
        <v>3</v>
      </c>
      <c r="I23" s="12">
        <v>1</v>
      </c>
      <c r="J23" s="21"/>
    </row>
    <row r="24" spans="1:10" ht="16.5" x14ac:dyDescent="0.25">
      <c r="A24" s="12" t="s">
        <v>76</v>
      </c>
      <c r="B24" s="12">
        <v>6</v>
      </c>
      <c r="C24" s="12">
        <v>6</v>
      </c>
      <c r="D24" s="12">
        <v>0</v>
      </c>
      <c r="E24" s="12">
        <v>0</v>
      </c>
      <c r="F24" s="12">
        <v>3</v>
      </c>
      <c r="G24" s="12">
        <v>0</v>
      </c>
      <c r="H24" s="12">
        <v>0</v>
      </c>
      <c r="I24" s="12">
        <v>3</v>
      </c>
      <c r="J24" s="21"/>
    </row>
    <row r="25" spans="1:10" x14ac:dyDescent="0.25">
      <c r="J25" s="21"/>
    </row>
    <row r="26" spans="1:10" x14ac:dyDescent="0.25">
      <c r="J26" s="21"/>
    </row>
    <row r="27" spans="1:10" x14ac:dyDescent="0.25">
      <c r="J27" s="21"/>
    </row>
    <row r="30" spans="1:10" ht="18.75" x14ac:dyDescent="0.3">
      <c r="A30" s="2" t="s">
        <v>0</v>
      </c>
      <c r="B30" s="1">
        <f>AVERAGE(B2:B29)</f>
        <v>7.8695652173913047</v>
      </c>
      <c r="C30" s="1">
        <f t="shared" ref="C30:I30" si="0">AVERAGE(C2:C29)</f>
        <v>7.5652173913043477</v>
      </c>
      <c r="D30" s="1">
        <f t="shared" si="0"/>
        <v>0.69565217391304346</v>
      </c>
      <c r="E30" s="1">
        <f t="shared" si="0"/>
        <v>1.2608695652173914</v>
      </c>
      <c r="F30" s="1">
        <f t="shared" si="0"/>
        <v>2.1304347826086958</v>
      </c>
      <c r="G30" s="1">
        <f t="shared" si="0"/>
        <v>0</v>
      </c>
      <c r="H30" s="1">
        <f t="shared" si="0"/>
        <v>2.1304347826086958</v>
      </c>
      <c r="I30" s="1">
        <f t="shared" si="0"/>
        <v>1.3478260869565217</v>
      </c>
    </row>
    <row r="31" spans="1:10" ht="18.75" x14ac:dyDescent="0.3">
      <c r="A31" s="3" t="s">
        <v>23</v>
      </c>
      <c r="B31" s="4">
        <f>SUM(B2:B29)</f>
        <v>181</v>
      </c>
      <c r="C31" s="4">
        <f t="shared" ref="C31:I31" si="1">SUM(C2:C29)</f>
        <v>174</v>
      </c>
      <c r="D31" s="4">
        <f t="shared" si="1"/>
        <v>16</v>
      </c>
      <c r="E31" s="4">
        <f t="shared" si="1"/>
        <v>29</v>
      </c>
      <c r="F31" s="4">
        <f t="shared" si="1"/>
        <v>49</v>
      </c>
      <c r="G31" s="4">
        <f t="shared" si="1"/>
        <v>0</v>
      </c>
      <c r="H31" s="4">
        <f t="shared" si="1"/>
        <v>49</v>
      </c>
      <c r="I31" s="4">
        <f t="shared" si="1"/>
        <v>31</v>
      </c>
    </row>
    <row r="32" spans="1:10" ht="18.75" x14ac:dyDescent="0.3">
      <c r="A32" s="5" t="s">
        <v>26</v>
      </c>
      <c r="B32" s="9"/>
      <c r="C32" s="9"/>
      <c r="D32" s="79">
        <f>D31/C31</f>
        <v>9.1954022988505746E-2</v>
      </c>
      <c r="E32" s="79">
        <f>E31/C31</f>
        <v>0.16666666666666666</v>
      </c>
      <c r="F32" s="79">
        <f>F31/C31</f>
        <v>0.28160919540229884</v>
      </c>
      <c r="G32" s="79">
        <f>G31/C31</f>
        <v>0</v>
      </c>
      <c r="H32" s="79">
        <f>H31/C31</f>
        <v>0.28160919540229884</v>
      </c>
      <c r="I32" s="79">
        <f>I31/C31</f>
        <v>0.17816091954022989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48CD-508F-451C-BDFF-F256C0A07973}">
  <sheetPr codeName="Planilha1"/>
  <dimension ref="A1:I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9.140625" defaultRowHeight="15" x14ac:dyDescent="0.25"/>
  <cols>
    <col min="1" max="1" width="40" style="23" customWidth="1"/>
    <col min="2" max="2" width="14.85546875" style="23" bestFit="1" customWidth="1"/>
    <col min="3" max="3" width="15.140625" style="23" bestFit="1" customWidth="1"/>
    <col min="4" max="4" width="16" style="23" customWidth="1"/>
    <col min="5" max="5" width="14" style="23" customWidth="1"/>
    <col min="6" max="6" width="16" style="23" customWidth="1"/>
    <col min="7" max="7" width="20.7109375" style="23" bestFit="1" customWidth="1"/>
    <col min="8" max="8" width="15.42578125" style="23" customWidth="1"/>
    <col min="9" max="9" width="12.5703125" style="9" bestFit="1" customWidth="1"/>
    <col min="10" max="16384" width="9.140625" style="9"/>
  </cols>
  <sheetData>
    <row r="1" spans="1:9" s="20" customFormat="1" ht="16.5" x14ac:dyDescent="0.25">
      <c r="A1" s="87" t="s">
        <v>28</v>
      </c>
      <c r="B1" s="87" t="s">
        <v>2</v>
      </c>
      <c r="C1" s="87" t="s">
        <v>3</v>
      </c>
      <c r="D1" s="87" t="s">
        <v>4</v>
      </c>
      <c r="E1" s="87" t="s">
        <v>5</v>
      </c>
      <c r="F1" s="87" t="s">
        <v>6</v>
      </c>
      <c r="G1" s="87" t="s">
        <v>7</v>
      </c>
      <c r="H1" s="87" t="s">
        <v>8</v>
      </c>
      <c r="I1" s="87" t="s">
        <v>9</v>
      </c>
    </row>
    <row r="2" spans="1:9" ht="16.5" x14ac:dyDescent="0.25">
      <c r="A2" s="88" t="s">
        <v>77</v>
      </c>
      <c r="B2" s="88">
        <v>12</v>
      </c>
      <c r="C2" s="88">
        <v>7</v>
      </c>
      <c r="D2" s="88">
        <v>2</v>
      </c>
      <c r="E2" s="88">
        <v>2</v>
      </c>
      <c r="F2" s="88">
        <v>0</v>
      </c>
      <c r="G2" s="88">
        <v>0</v>
      </c>
      <c r="H2" s="88">
        <v>3</v>
      </c>
      <c r="I2" s="88">
        <v>0</v>
      </c>
    </row>
    <row r="3" spans="1:9" ht="16.5" x14ac:dyDescent="0.25">
      <c r="A3" s="88" t="s">
        <v>78</v>
      </c>
      <c r="B3" s="88">
        <v>33</v>
      </c>
      <c r="C3" s="88">
        <v>11</v>
      </c>
      <c r="D3" s="88">
        <v>1</v>
      </c>
      <c r="E3" s="88">
        <v>2</v>
      </c>
      <c r="F3" s="88">
        <v>1</v>
      </c>
      <c r="G3" s="88">
        <v>0</v>
      </c>
      <c r="H3" s="88">
        <v>0</v>
      </c>
      <c r="I3" s="88">
        <v>7</v>
      </c>
    </row>
    <row r="4" spans="1:9" ht="16.5" x14ac:dyDescent="0.25">
      <c r="A4" s="88" t="s">
        <v>79</v>
      </c>
      <c r="B4" s="88">
        <v>9</v>
      </c>
      <c r="C4" s="88">
        <v>20</v>
      </c>
      <c r="D4" s="88">
        <v>1</v>
      </c>
      <c r="E4" s="88">
        <v>3</v>
      </c>
      <c r="F4" s="88">
        <v>10</v>
      </c>
      <c r="G4" s="88">
        <v>0</v>
      </c>
      <c r="H4" s="88">
        <v>1</v>
      </c>
      <c r="I4" s="88">
        <v>5</v>
      </c>
    </row>
    <row r="5" spans="1:9" ht="16.5" x14ac:dyDescent="0.25">
      <c r="A5" s="88" t="s">
        <v>80</v>
      </c>
      <c r="B5" s="88">
        <v>3</v>
      </c>
      <c r="C5" s="88">
        <v>10</v>
      </c>
      <c r="D5" s="88">
        <v>6</v>
      </c>
      <c r="E5" s="88">
        <v>0</v>
      </c>
      <c r="F5" s="88">
        <v>2</v>
      </c>
      <c r="G5" s="88">
        <v>0</v>
      </c>
      <c r="H5" s="88">
        <v>1</v>
      </c>
      <c r="I5" s="88">
        <v>1</v>
      </c>
    </row>
    <row r="6" spans="1:9" ht="16.5" x14ac:dyDescent="0.25">
      <c r="A6" s="88" t="s">
        <v>81</v>
      </c>
      <c r="B6" s="88">
        <v>8</v>
      </c>
      <c r="C6" s="88">
        <v>24</v>
      </c>
      <c r="D6" s="88">
        <v>1</v>
      </c>
      <c r="E6" s="88">
        <v>5</v>
      </c>
      <c r="F6" s="88">
        <v>1</v>
      </c>
      <c r="G6" s="88">
        <v>0</v>
      </c>
      <c r="H6" s="88">
        <v>17</v>
      </c>
      <c r="I6" s="88">
        <v>0</v>
      </c>
    </row>
    <row r="7" spans="1:9" ht="16.5" x14ac:dyDescent="0.25">
      <c r="A7" s="88" t="s">
        <v>82</v>
      </c>
      <c r="B7" s="88">
        <v>9</v>
      </c>
      <c r="C7" s="88">
        <v>9</v>
      </c>
      <c r="D7" s="88">
        <v>2</v>
      </c>
      <c r="E7" s="88">
        <v>2</v>
      </c>
      <c r="F7" s="88">
        <v>1</v>
      </c>
      <c r="G7" s="88">
        <v>0</v>
      </c>
      <c r="H7" s="88">
        <v>3</v>
      </c>
      <c r="I7" s="88">
        <v>1</v>
      </c>
    </row>
    <row r="8" spans="1:9" ht="16.5" x14ac:dyDescent="0.25">
      <c r="A8" s="88" t="s">
        <v>83</v>
      </c>
      <c r="B8" s="88">
        <v>0</v>
      </c>
      <c r="C8" s="88">
        <v>1</v>
      </c>
      <c r="D8" s="88">
        <v>1</v>
      </c>
      <c r="E8" s="88">
        <v>0</v>
      </c>
      <c r="F8" s="88">
        <v>0</v>
      </c>
      <c r="G8" s="88">
        <v>0</v>
      </c>
      <c r="H8" s="88">
        <v>0</v>
      </c>
      <c r="I8" s="88">
        <v>0</v>
      </c>
    </row>
    <row r="9" spans="1:9" ht="16.5" x14ac:dyDescent="0.25">
      <c r="A9" s="88" t="s">
        <v>84</v>
      </c>
      <c r="B9" s="88">
        <v>8</v>
      </c>
      <c r="C9" s="88">
        <v>5</v>
      </c>
      <c r="D9" s="88">
        <v>2</v>
      </c>
      <c r="E9" s="88">
        <v>0</v>
      </c>
      <c r="F9" s="88">
        <v>2</v>
      </c>
      <c r="G9" s="88">
        <v>0</v>
      </c>
      <c r="H9" s="88">
        <v>0</v>
      </c>
      <c r="I9" s="88">
        <v>1</v>
      </c>
    </row>
    <row r="10" spans="1:9" ht="16.5" x14ac:dyDescent="0.25">
      <c r="A10" s="88" t="s">
        <v>85</v>
      </c>
      <c r="B10" s="88">
        <v>12</v>
      </c>
      <c r="C10" s="88">
        <v>5</v>
      </c>
      <c r="D10" s="88">
        <v>0</v>
      </c>
      <c r="E10" s="88">
        <v>2</v>
      </c>
      <c r="F10" s="88">
        <v>2</v>
      </c>
      <c r="G10" s="88">
        <v>0</v>
      </c>
      <c r="H10" s="88">
        <v>0</v>
      </c>
      <c r="I10" s="88">
        <v>1</v>
      </c>
    </row>
    <row r="11" spans="1:9" ht="16.5" x14ac:dyDescent="0.25">
      <c r="A11" s="88" t="s">
        <v>86</v>
      </c>
      <c r="B11" s="88">
        <v>10</v>
      </c>
      <c r="C11" s="88">
        <v>13</v>
      </c>
      <c r="D11" s="88">
        <v>2</v>
      </c>
      <c r="E11" s="88">
        <v>2</v>
      </c>
      <c r="F11" s="88">
        <v>7</v>
      </c>
      <c r="G11" s="88">
        <v>0</v>
      </c>
      <c r="H11" s="88">
        <v>0</v>
      </c>
      <c r="I11" s="88">
        <v>2</v>
      </c>
    </row>
    <row r="12" spans="1:9" ht="16.5" x14ac:dyDescent="0.25">
      <c r="A12" s="88" t="s">
        <v>87</v>
      </c>
      <c r="B12" s="88">
        <v>10</v>
      </c>
      <c r="C12" s="88">
        <v>11</v>
      </c>
      <c r="D12" s="88">
        <v>3</v>
      </c>
      <c r="E12" s="88">
        <v>0</v>
      </c>
      <c r="F12" s="88">
        <v>3</v>
      </c>
      <c r="G12" s="88">
        <v>0</v>
      </c>
      <c r="H12" s="88">
        <v>1</v>
      </c>
      <c r="I12" s="88">
        <v>4</v>
      </c>
    </row>
    <row r="13" spans="1:9" ht="16.5" x14ac:dyDescent="0.25">
      <c r="A13" s="88" t="s">
        <v>88</v>
      </c>
      <c r="B13" s="88">
        <v>6</v>
      </c>
      <c r="C13" s="88">
        <v>10</v>
      </c>
      <c r="D13" s="88">
        <v>3</v>
      </c>
      <c r="E13" s="88">
        <v>1</v>
      </c>
      <c r="F13" s="88">
        <v>4</v>
      </c>
      <c r="G13" s="88">
        <v>0</v>
      </c>
      <c r="H13" s="88">
        <v>1</v>
      </c>
      <c r="I13" s="88">
        <v>1</v>
      </c>
    </row>
    <row r="14" spans="1:9" ht="16.5" x14ac:dyDescent="0.25">
      <c r="A14" s="88" t="s">
        <v>89</v>
      </c>
      <c r="B14" s="88">
        <v>21</v>
      </c>
      <c r="C14" s="88">
        <v>8</v>
      </c>
      <c r="D14" s="88">
        <v>0</v>
      </c>
      <c r="E14" s="88">
        <v>0</v>
      </c>
      <c r="F14" s="88">
        <v>2</v>
      </c>
      <c r="G14" s="88">
        <v>0</v>
      </c>
      <c r="H14" s="88">
        <v>2</v>
      </c>
      <c r="I14" s="88">
        <v>4</v>
      </c>
    </row>
    <row r="15" spans="1:9" ht="16.5" x14ac:dyDescent="0.25">
      <c r="A15" s="88" t="s">
        <v>90</v>
      </c>
      <c r="B15" s="88">
        <v>5</v>
      </c>
      <c r="C15" s="88">
        <v>13</v>
      </c>
      <c r="D15" s="88">
        <v>0</v>
      </c>
      <c r="E15" s="88">
        <v>3</v>
      </c>
      <c r="F15" s="88">
        <v>8</v>
      </c>
      <c r="G15" s="88">
        <v>0</v>
      </c>
      <c r="H15" s="88">
        <v>1</v>
      </c>
      <c r="I15" s="88">
        <v>1</v>
      </c>
    </row>
    <row r="16" spans="1:9" ht="16.5" x14ac:dyDescent="0.25">
      <c r="A16" s="88" t="s">
        <v>91</v>
      </c>
      <c r="B16" s="88">
        <v>7</v>
      </c>
      <c r="C16" s="88">
        <v>9</v>
      </c>
      <c r="D16" s="88">
        <v>0</v>
      </c>
      <c r="E16" s="88">
        <v>0</v>
      </c>
      <c r="F16" s="88">
        <v>4</v>
      </c>
      <c r="G16" s="88">
        <v>0</v>
      </c>
      <c r="H16" s="88">
        <v>0</v>
      </c>
      <c r="I16" s="88">
        <v>5</v>
      </c>
    </row>
    <row r="17" spans="1:9" ht="16.5" x14ac:dyDescent="0.25">
      <c r="A17" s="88" t="s">
        <v>92</v>
      </c>
      <c r="B17" s="88">
        <v>22</v>
      </c>
      <c r="C17" s="88">
        <v>20</v>
      </c>
      <c r="D17" s="88">
        <v>2</v>
      </c>
      <c r="E17" s="88">
        <v>0</v>
      </c>
      <c r="F17" s="88">
        <v>0</v>
      </c>
      <c r="G17" s="88">
        <v>0</v>
      </c>
      <c r="H17" s="88">
        <v>15</v>
      </c>
      <c r="I17" s="88">
        <v>3</v>
      </c>
    </row>
    <row r="18" spans="1:9" ht="16.5" x14ac:dyDescent="0.25">
      <c r="A18" s="88" t="s">
        <v>93</v>
      </c>
      <c r="B18" s="88">
        <v>12</v>
      </c>
      <c r="C18" s="88">
        <v>19</v>
      </c>
      <c r="D18" s="88">
        <v>1</v>
      </c>
      <c r="E18" s="88">
        <v>1</v>
      </c>
      <c r="F18" s="88">
        <v>2</v>
      </c>
      <c r="G18" s="88">
        <v>0</v>
      </c>
      <c r="H18" s="88">
        <v>10</v>
      </c>
      <c r="I18" s="88">
        <v>5</v>
      </c>
    </row>
    <row r="19" spans="1:9" ht="16.5" x14ac:dyDescent="0.25">
      <c r="A19" s="88" t="s">
        <v>94</v>
      </c>
      <c r="B19" s="88">
        <v>10</v>
      </c>
      <c r="C19" s="88">
        <v>6</v>
      </c>
      <c r="D19" s="88">
        <v>2</v>
      </c>
      <c r="E19" s="88">
        <v>0</v>
      </c>
      <c r="F19" s="88">
        <v>0</v>
      </c>
      <c r="G19" s="88">
        <v>0</v>
      </c>
      <c r="H19" s="88">
        <v>3</v>
      </c>
      <c r="I19" s="88">
        <v>1</v>
      </c>
    </row>
    <row r="20" spans="1:9" ht="16.5" x14ac:dyDescent="0.25">
      <c r="A20" s="88" t="s">
        <v>95</v>
      </c>
      <c r="B20" s="88">
        <v>8</v>
      </c>
      <c r="C20" s="88">
        <v>10</v>
      </c>
      <c r="D20" s="88">
        <v>1</v>
      </c>
      <c r="E20" s="88">
        <v>1</v>
      </c>
      <c r="F20" s="88">
        <v>3</v>
      </c>
      <c r="G20" s="88">
        <v>0</v>
      </c>
      <c r="H20" s="88">
        <v>0</v>
      </c>
      <c r="I20" s="88">
        <v>5</v>
      </c>
    </row>
    <row r="21" spans="1:9" ht="16.5" x14ac:dyDescent="0.25">
      <c r="A21" s="88" t="s">
        <v>96</v>
      </c>
      <c r="B21" s="88">
        <v>5</v>
      </c>
      <c r="C21" s="88">
        <v>10</v>
      </c>
      <c r="D21" s="88">
        <v>1</v>
      </c>
      <c r="E21" s="88">
        <v>6</v>
      </c>
      <c r="F21" s="88">
        <v>3</v>
      </c>
      <c r="G21" s="88">
        <v>0</v>
      </c>
      <c r="H21" s="88">
        <v>0</v>
      </c>
      <c r="I21" s="88">
        <v>0</v>
      </c>
    </row>
    <row r="22" spans="1:9" ht="16.5" x14ac:dyDescent="0.25">
      <c r="A22" s="88" t="s">
        <v>97</v>
      </c>
      <c r="B22" s="88">
        <v>5</v>
      </c>
      <c r="C22" s="88">
        <v>8</v>
      </c>
      <c r="D22" s="88">
        <v>3</v>
      </c>
      <c r="E22" s="88">
        <v>0</v>
      </c>
      <c r="F22" s="88">
        <v>4</v>
      </c>
      <c r="G22" s="88">
        <v>0</v>
      </c>
      <c r="H22" s="88">
        <v>0</v>
      </c>
      <c r="I22" s="88">
        <v>1</v>
      </c>
    </row>
    <row r="23" spans="1:9" ht="16.5" x14ac:dyDescent="0.25">
      <c r="A23" s="88" t="s">
        <v>98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</row>
    <row r="30" spans="1:9" ht="18.75" x14ac:dyDescent="0.3">
      <c r="A30" s="2" t="s">
        <v>0</v>
      </c>
      <c r="B30" s="1">
        <f>AVERAGE(B2:B29)</f>
        <v>9.7727272727272734</v>
      </c>
      <c r="C30" s="1">
        <f t="shared" ref="C30:I30" si="0">AVERAGE(C2:C29)</f>
        <v>10.409090909090908</v>
      </c>
      <c r="D30" s="1">
        <f t="shared" si="0"/>
        <v>1.5454545454545454</v>
      </c>
      <c r="E30" s="1">
        <f t="shared" si="0"/>
        <v>1.3636363636363635</v>
      </c>
      <c r="F30" s="1">
        <f t="shared" si="0"/>
        <v>2.6818181818181817</v>
      </c>
      <c r="G30" s="1">
        <f t="shared" si="0"/>
        <v>0</v>
      </c>
      <c r="H30" s="1">
        <f t="shared" si="0"/>
        <v>2.6363636363636362</v>
      </c>
      <c r="I30" s="1">
        <f t="shared" si="0"/>
        <v>2.1818181818181817</v>
      </c>
    </row>
    <row r="31" spans="1:9" ht="18.75" x14ac:dyDescent="0.3">
      <c r="A31" s="3" t="s">
        <v>23</v>
      </c>
      <c r="B31" s="4">
        <f>SUM(B2:B29)</f>
        <v>215</v>
      </c>
      <c r="C31" s="4">
        <f t="shared" ref="C31:I31" si="1">SUM(C2:C29)</f>
        <v>229</v>
      </c>
      <c r="D31" s="4">
        <f t="shared" si="1"/>
        <v>34</v>
      </c>
      <c r="E31" s="4">
        <f t="shared" si="1"/>
        <v>30</v>
      </c>
      <c r="F31" s="4">
        <f t="shared" si="1"/>
        <v>59</v>
      </c>
      <c r="G31" s="4">
        <f t="shared" si="1"/>
        <v>0</v>
      </c>
      <c r="H31" s="4">
        <f t="shared" si="1"/>
        <v>58</v>
      </c>
      <c r="I31" s="4">
        <f t="shared" si="1"/>
        <v>48</v>
      </c>
    </row>
    <row r="32" spans="1:9" ht="18.75" x14ac:dyDescent="0.3">
      <c r="A32" s="5" t="s">
        <v>26</v>
      </c>
      <c r="B32" s="9"/>
      <c r="C32" s="9"/>
      <c r="D32" s="79">
        <f>D31/C31</f>
        <v>0.14847161572052403</v>
      </c>
      <c r="E32" s="79">
        <f>E31/C31</f>
        <v>0.13100436681222707</v>
      </c>
      <c r="F32" s="79">
        <f>F31/C31</f>
        <v>0.2576419213973799</v>
      </c>
      <c r="G32" s="79">
        <f>G31/C31</f>
        <v>0</v>
      </c>
      <c r="H32" s="79">
        <f>H31/C31</f>
        <v>0.25327510917030566</v>
      </c>
      <c r="I32" s="79">
        <f>I31/C31</f>
        <v>0.20960698689956331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51" r:id="rId4" name="Control 3">
          <controlPr defaultSize="0" r:id="rId5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914400</xdr:colOff>
                <xdr:row>2</xdr:row>
                <xdr:rowOff>19050</xdr:rowOff>
              </to>
            </anchor>
          </controlPr>
        </control>
      </mc:Choice>
      <mc:Fallback>
        <control shapeId="2051" r:id="rId4" name="Control 3"/>
      </mc:Fallback>
    </mc:AlternateContent>
    <mc:AlternateContent xmlns:mc="http://schemas.openxmlformats.org/markup-compatibility/2006">
      <mc:Choice Requires="x14">
        <control shapeId="2050" r:id="rId6" name="Control 2">
          <controlPr defaultSize="0" r:id="rId5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914400</xdr:colOff>
                <xdr:row>2</xdr:row>
                <xdr:rowOff>19050</xdr:rowOff>
              </to>
            </anchor>
          </controlPr>
        </control>
      </mc:Choice>
      <mc:Fallback>
        <control shapeId="2050" r:id="rId6" name="Control 2"/>
      </mc:Fallback>
    </mc:AlternateContent>
    <mc:AlternateContent xmlns:mc="http://schemas.openxmlformats.org/markup-compatibility/2006">
      <mc:Choice Requires="x14">
        <control shapeId="2049" r:id="rId7" name="Control 1">
          <controlPr defaultSize="0" r:id="rId5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914400</xdr:colOff>
                <xdr:row>2</xdr:row>
                <xdr:rowOff>19050</xdr:rowOff>
              </to>
            </anchor>
          </controlPr>
        </control>
      </mc:Choice>
      <mc:Fallback>
        <control shapeId="2049" r:id="rId7" name="Control 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9FB3-3913-461F-88BF-82279A6FDA18}">
  <dimension ref="A1:I32"/>
  <sheetViews>
    <sheetView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37.5703125" style="21" customWidth="1"/>
    <col min="2" max="2" width="13.140625" style="21" customWidth="1"/>
    <col min="3" max="3" width="13.7109375" style="21" bestFit="1" customWidth="1"/>
    <col min="4" max="4" width="14.140625" style="21" bestFit="1" customWidth="1"/>
    <col min="5" max="5" width="12.5703125" style="21" bestFit="1" customWidth="1"/>
    <col min="6" max="6" width="12.85546875" style="21" bestFit="1" customWidth="1"/>
    <col min="7" max="7" width="18.28515625" style="21" customWidth="1"/>
    <col min="8" max="8" width="18.85546875" style="21" bestFit="1" customWidth="1"/>
    <col min="9" max="9" width="12.5703125" style="21" bestFit="1" customWidth="1"/>
    <col min="10" max="16384" width="9.140625" style="21"/>
  </cols>
  <sheetData>
    <row r="1" spans="1:9" s="25" customFormat="1" ht="16.5" x14ac:dyDescent="0.25">
      <c r="A1" s="26" t="s">
        <v>28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</row>
    <row r="2" spans="1:9" ht="16.5" x14ac:dyDescent="0.25">
      <c r="A2" s="12" t="s">
        <v>99</v>
      </c>
      <c r="B2" s="12">
        <v>11</v>
      </c>
      <c r="C2" s="12">
        <v>2</v>
      </c>
      <c r="D2" s="12">
        <v>0</v>
      </c>
      <c r="E2" s="12">
        <v>0</v>
      </c>
      <c r="F2" s="12">
        <v>1</v>
      </c>
      <c r="G2" s="12">
        <v>0</v>
      </c>
      <c r="H2" s="12">
        <v>0</v>
      </c>
      <c r="I2" s="12">
        <v>1</v>
      </c>
    </row>
    <row r="3" spans="1:9" ht="16.5" x14ac:dyDescent="0.25">
      <c r="A3" s="12" t="s">
        <v>100</v>
      </c>
      <c r="B3" s="12">
        <v>6</v>
      </c>
      <c r="C3" s="12">
        <v>6</v>
      </c>
      <c r="D3" s="12">
        <v>0</v>
      </c>
      <c r="E3" s="12">
        <v>2</v>
      </c>
      <c r="F3" s="12">
        <v>2</v>
      </c>
      <c r="G3" s="12">
        <v>0</v>
      </c>
      <c r="H3" s="12">
        <v>0</v>
      </c>
      <c r="I3" s="12">
        <v>2</v>
      </c>
    </row>
    <row r="4" spans="1:9" ht="16.5" x14ac:dyDescent="0.25">
      <c r="A4" s="12" t="s">
        <v>101</v>
      </c>
      <c r="B4" s="12">
        <v>14</v>
      </c>
      <c r="C4" s="12">
        <v>11</v>
      </c>
      <c r="D4" s="12">
        <v>1</v>
      </c>
      <c r="E4" s="12">
        <v>1</v>
      </c>
      <c r="F4" s="12">
        <v>2</v>
      </c>
      <c r="G4" s="12">
        <v>0</v>
      </c>
      <c r="H4" s="12">
        <v>5</v>
      </c>
      <c r="I4" s="12">
        <v>2</v>
      </c>
    </row>
    <row r="5" spans="1:9" ht="16.5" x14ac:dyDescent="0.25">
      <c r="A5" s="12" t="s">
        <v>102</v>
      </c>
      <c r="B5" s="12">
        <v>9</v>
      </c>
      <c r="C5" s="12">
        <v>9</v>
      </c>
      <c r="D5" s="12">
        <v>0</v>
      </c>
      <c r="E5" s="12">
        <v>6</v>
      </c>
      <c r="F5" s="12">
        <v>1</v>
      </c>
      <c r="G5" s="12">
        <v>0</v>
      </c>
      <c r="H5" s="12">
        <v>1</v>
      </c>
      <c r="I5" s="12">
        <v>1</v>
      </c>
    </row>
    <row r="6" spans="1:9" ht="16.5" x14ac:dyDescent="0.25">
      <c r="A6" s="12" t="s">
        <v>103</v>
      </c>
      <c r="B6" s="12">
        <v>10</v>
      </c>
      <c r="C6" s="12">
        <v>13</v>
      </c>
      <c r="D6" s="12">
        <v>5</v>
      </c>
      <c r="E6" s="12">
        <v>0</v>
      </c>
      <c r="F6" s="12">
        <v>2</v>
      </c>
      <c r="G6" s="12">
        <v>0</v>
      </c>
      <c r="H6" s="12">
        <v>2</v>
      </c>
      <c r="I6" s="12">
        <v>4</v>
      </c>
    </row>
    <row r="7" spans="1:9" ht="16.5" x14ac:dyDescent="0.25">
      <c r="A7" s="12" t="s">
        <v>104</v>
      </c>
      <c r="B7" s="12">
        <v>8</v>
      </c>
      <c r="C7" s="12">
        <v>6</v>
      </c>
      <c r="D7" s="12">
        <v>1</v>
      </c>
      <c r="E7" s="12">
        <v>1</v>
      </c>
      <c r="F7" s="12">
        <v>2</v>
      </c>
      <c r="G7" s="12">
        <v>0</v>
      </c>
      <c r="H7" s="12">
        <v>0</v>
      </c>
      <c r="I7" s="12">
        <v>2</v>
      </c>
    </row>
    <row r="8" spans="1:9" ht="16.5" x14ac:dyDescent="0.25">
      <c r="A8" s="12" t="s">
        <v>105</v>
      </c>
      <c r="B8" s="12">
        <v>19</v>
      </c>
      <c r="C8" s="12">
        <v>15</v>
      </c>
      <c r="D8" s="12">
        <v>2</v>
      </c>
      <c r="E8" s="12">
        <v>3</v>
      </c>
      <c r="F8" s="12">
        <v>5</v>
      </c>
      <c r="G8" s="12">
        <v>0</v>
      </c>
      <c r="H8" s="12">
        <v>2</v>
      </c>
      <c r="I8" s="12">
        <v>3</v>
      </c>
    </row>
    <row r="9" spans="1:9" ht="16.5" x14ac:dyDescent="0.25">
      <c r="A9" s="12" t="s">
        <v>106</v>
      </c>
      <c r="B9" s="12">
        <v>9</v>
      </c>
      <c r="C9" s="12">
        <v>11</v>
      </c>
      <c r="D9" s="12">
        <v>2</v>
      </c>
      <c r="E9" s="12">
        <v>2</v>
      </c>
      <c r="F9" s="12">
        <v>5</v>
      </c>
      <c r="G9" s="12">
        <v>0</v>
      </c>
      <c r="H9" s="12">
        <v>0</v>
      </c>
      <c r="I9" s="12">
        <v>2</v>
      </c>
    </row>
    <row r="10" spans="1:9" ht="16.5" x14ac:dyDescent="0.25">
      <c r="A10" s="12" t="s">
        <v>107</v>
      </c>
      <c r="B10" s="12">
        <v>7</v>
      </c>
      <c r="C10" s="12">
        <v>9</v>
      </c>
      <c r="D10" s="12">
        <v>1</v>
      </c>
      <c r="E10" s="12">
        <v>3</v>
      </c>
      <c r="F10" s="12">
        <v>4</v>
      </c>
      <c r="G10" s="12">
        <v>0</v>
      </c>
      <c r="H10" s="12">
        <v>1</v>
      </c>
      <c r="I10" s="12">
        <v>0</v>
      </c>
    </row>
    <row r="11" spans="1:9" ht="16.5" x14ac:dyDescent="0.25">
      <c r="A11" s="12" t="s">
        <v>108</v>
      </c>
      <c r="B11" s="12">
        <v>4</v>
      </c>
      <c r="C11" s="12">
        <v>3</v>
      </c>
      <c r="D11" s="12">
        <v>0</v>
      </c>
      <c r="E11" s="12">
        <v>1</v>
      </c>
      <c r="F11" s="12">
        <v>2</v>
      </c>
      <c r="G11" s="12">
        <v>0</v>
      </c>
      <c r="H11" s="12">
        <v>0</v>
      </c>
      <c r="I11" s="12">
        <v>0</v>
      </c>
    </row>
    <row r="12" spans="1:9" ht="16.5" x14ac:dyDescent="0.25">
      <c r="A12" s="12" t="s">
        <v>109</v>
      </c>
      <c r="B12" s="12">
        <v>9</v>
      </c>
      <c r="C12" s="12">
        <v>3</v>
      </c>
      <c r="D12" s="12">
        <v>1</v>
      </c>
      <c r="E12" s="12">
        <v>0</v>
      </c>
      <c r="F12" s="12">
        <v>1</v>
      </c>
      <c r="G12" s="12">
        <v>0</v>
      </c>
      <c r="H12" s="12">
        <v>0</v>
      </c>
      <c r="I12" s="12">
        <v>1</v>
      </c>
    </row>
    <row r="13" spans="1:9" ht="16.5" x14ac:dyDescent="0.25">
      <c r="A13" s="12" t="s">
        <v>110</v>
      </c>
      <c r="B13" s="12">
        <v>9</v>
      </c>
      <c r="C13" s="12">
        <v>9</v>
      </c>
      <c r="D13" s="12">
        <v>1</v>
      </c>
      <c r="E13" s="12">
        <v>2</v>
      </c>
      <c r="F13" s="12">
        <v>2</v>
      </c>
      <c r="G13" s="12">
        <v>0</v>
      </c>
      <c r="H13" s="12">
        <v>3</v>
      </c>
      <c r="I13" s="12">
        <v>1</v>
      </c>
    </row>
    <row r="14" spans="1:9" ht="16.5" x14ac:dyDescent="0.25">
      <c r="A14" s="12" t="s">
        <v>111</v>
      </c>
      <c r="B14" s="12">
        <v>10</v>
      </c>
      <c r="C14" s="12">
        <v>8</v>
      </c>
      <c r="D14" s="12">
        <v>1</v>
      </c>
      <c r="E14" s="12">
        <v>1</v>
      </c>
      <c r="F14" s="12">
        <v>1</v>
      </c>
      <c r="G14" s="12">
        <v>0</v>
      </c>
      <c r="H14" s="12">
        <v>4</v>
      </c>
      <c r="I14" s="12">
        <v>1</v>
      </c>
    </row>
    <row r="15" spans="1:9" ht="16.5" x14ac:dyDescent="0.25">
      <c r="A15" s="12" t="s">
        <v>112</v>
      </c>
      <c r="B15" s="12">
        <v>14</v>
      </c>
      <c r="C15" s="12">
        <v>9</v>
      </c>
      <c r="D15" s="12">
        <v>4</v>
      </c>
      <c r="E15" s="12">
        <v>2</v>
      </c>
      <c r="F15" s="12">
        <v>1</v>
      </c>
      <c r="G15" s="12">
        <v>0</v>
      </c>
      <c r="H15" s="12">
        <v>0</v>
      </c>
      <c r="I15" s="12">
        <v>2</v>
      </c>
    </row>
    <row r="16" spans="1:9" ht="16.5" x14ac:dyDescent="0.25">
      <c r="A16" s="12" t="s">
        <v>113</v>
      </c>
      <c r="B16" s="12">
        <v>16</v>
      </c>
      <c r="C16" s="12">
        <v>12</v>
      </c>
      <c r="D16" s="12">
        <v>0</v>
      </c>
      <c r="E16" s="12">
        <v>0</v>
      </c>
      <c r="F16" s="12">
        <v>0</v>
      </c>
      <c r="G16" s="12">
        <v>0</v>
      </c>
      <c r="H16" s="12">
        <v>12</v>
      </c>
      <c r="I16" s="12">
        <v>0</v>
      </c>
    </row>
    <row r="17" spans="1:9" ht="16.5" x14ac:dyDescent="0.25">
      <c r="A17" s="12" t="s">
        <v>114</v>
      </c>
      <c r="B17" s="12">
        <v>17</v>
      </c>
      <c r="C17" s="12">
        <v>14</v>
      </c>
      <c r="D17" s="12">
        <v>1</v>
      </c>
      <c r="E17" s="12">
        <v>0</v>
      </c>
      <c r="F17" s="12">
        <v>9</v>
      </c>
      <c r="G17" s="12">
        <v>0</v>
      </c>
      <c r="H17" s="12">
        <v>0</v>
      </c>
      <c r="I17" s="12">
        <v>4</v>
      </c>
    </row>
    <row r="18" spans="1:9" ht="16.5" x14ac:dyDescent="0.25">
      <c r="A18" s="12" t="s">
        <v>115</v>
      </c>
      <c r="B18" s="12">
        <v>14</v>
      </c>
      <c r="C18" s="12">
        <v>9</v>
      </c>
      <c r="D18" s="12">
        <v>1</v>
      </c>
      <c r="E18" s="12">
        <v>0</v>
      </c>
      <c r="F18" s="12">
        <v>1</v>
      </c>
      <c r="G18" s="12">
        <v>0</v>
      </c>
      <c r="H18" s="12">
        <v>5</v>
      </c>
      <c r="I18" s="12">
        <v>2</v>
      </c>
    </row>
    <row r="19" spans="1:9" ht="16.5" x14ac:dyDescent="0.25">
      <c r="A19" s="12" t="s">
        <v>116</v>
      </c>
      <c r="B19" s="12">
        <v>13</v>
      </c>
      <c r="C19" s="12">
        <v>23</v>
      </c>
      <c r="D19" s="12">
        <v>2</v>
      </c>
      <c r="E19" s="12">
        <v>4</v>
      </c>
      <c r="F19" s="12">
        <v>3</v>
      </c>
      <c r="G19" s="12">
        <v>0</v>
      </c>
      <c r="H19" s="12">
        <v>2</v>
      </c>
      <c r="I19" s="12">
        <v>12</v>
      </c>
    </row>
    <row r="20" spans="1:9" ht="16.5" x14ac:dyDescent="0.25">
      <c r="A20" s="12" t="s">
        <v>117</v>
      </c>
      <c r="B20" s="12">
        <v>13</v>
      </c>
      <c r="C20" s="12">
        <v>14</v>
      </c>
      <c r="D20" s="12">
        <v>4</v>
      </c>
      <c r="E20" s="12">
        <v>0</v>
      </c>
      <c r="F20" s="12">
        <v>4</v>
      </c>
      <c r="G20" s="12">
        <v>0</v>
      </c>
      <c r="H20" s="12">
        <v>6</v>
      </c>
      <c r="I20" s="12">
        <v>0</v>
      </c>
    </row>
    <row r="21" spans="1:9" ht="16.5" x14ac:dyDescent="0.25">
      <c r="A21" s="12" t="s">
        <v>118</v>
      </c>
      <c r="B21" s="12">
        <v>11</v>
      </c>
      <c r="C21" s="12">
        <v>6</v>
      </c>
      <c r="D21" s="12">
        <v>0</v>
      </c>
      <c r="E21" s="12">
        <v>1</v>
      </c>
      <c r="F21" s="12">
        <v>1</v>
      </c>
      <c r="G21" s="12">
        <v>0</v>
      </c>
      <c r="H21" s="12">
        <v>4</v>
      </c>
      <c r="I21" s="12">
        <v>0</v>
      </c>
    </row>
    <row r="22" spans="1:9" ht="16.5" x14ac:dyDescent="0.25">
      <c r="A22" s="12" t="s">
        <v>119</v>
      </c>
      <c r="B22" s="12">
        <v>9</v>
      </c>
      <c r="C22" s="12">
        <v>11</v>
      </c>
      <c r="D22" s="12">
        <v>3</v>
      </c>
      <c r="E22" s="12">
        <v>0</v>
      </c>
      <c r="F22" s="12">
        <v>2</v>
      </c>
      <c r="G22" s="12">
        <v>0</v>
      </c>
      <c r="H22" s="12">
        <v>3</v>
      </c>
      <c r="I22" s="12">
        <v>3</v>
      </c>
    </row>
    <row r="23" spans="1:9" ht="16.5" x14ac:dyDescent="0.25">
      <c r="A23" s="12" t="s">
        <v>120</v>
      </c>
      <c r="B23" s="12">
        <v>11</v>
      </c>
      <c r="C23" s="12">
        <v>9</v>
      </c>
      <c r="D23" s="12">
        <v>2</v>
      </c>
      <c r="E23" s="12">
        <v>1</v>
      </c>
      <c r="F23" s="12">
        <v>5</v>
      </c>
      <c r="G23" s="12">
        <v>0</v>
      </c>
      <c r="H23" s="12">
        <v>1</v>
      </c>
      <c r="I23" s="12">
        <v>0</v>
      </c>
    </row>
    <row r="30" spans="1:9" ht="18.75" x14ac:dyDescent="0.3">
      <c r="A30" s="2" t="s">
        <v>0</v>
      </c>
      <c r="B30" s="1">
        <f>AVERAGE(B2:B29)</f>
        <v>11.045454545454545</v>
      </c>
      <c r="C30" s="1">
        <f t="shared" ref="C30:I30" si="0">AVERAGE(C2:C29)</f>
        <v>9.6363636363636367</v>
      </c>
      <c r="D30" s="1">
        <f t="shared" si="0"/>
        <v>1.4545454545454546</v>
      </c>
      <c r="E30" s="1">
        <f t="shared" si="0"/>
        <v>1.3636363636363635</v>
      </c>
      <c r="F30" s="1">
        <f t="shared" si="0"/>
        <v>2.5454545454545454</v>
      </c>
      <c r="G30" s="1">
        <f t="shared" si="0"/>
        <v>0</v>
      </c>
      <c r="H30" s="1">
        <f t="shared" si="0"/>
        <v>2.3181818181818183</v>
      </c>
      <c r="I30" s="1">
        <f t="shared" si="0"/>
        <v>1.9545454545454546</v>
      </c>
    </row>
    <row r="31" spans="1:9" ht="18.75" x14ac:dyDescent="0.3">
      <c r="A31" s="3" t="s">
        <v>23</v>
      </c>
      <c r="B31" s="4">
        <f>SUM(B2:B29)</f>
        <v>243</v>
      </c>
      <c r="C31" s="4">
        <f t="shared" ref="C31:I31" si="1">SUM(C2:C29)</f>
        <v>212</v>
      </c>
      <c r="D31" s="4">
        <f t="shared" si="1"/>
        <v>32</v>
      </c>
      <c r="E31" s="4">
        <f t="shared" si="1"/>
        <v>30</v>
      </c>
      <c r="F31" s="4">
        <f t="shared" si="1"/>
        <v>56</v>
      </c>
      <c r="G31" s="4">
        <f t="shared" si="1"/>
        <v>0</v>
      </c>
      <c r="H31" s="4">
        <f t="shared" si="1"/>
        <v>51</v>
      </c>
      <c r="I31" s="4">
        <f t="shared" si="1"/>
        <v>43</v>
      </c>
    </row>
    <row r="32" spans="1:9" ht="18.75" x14ac:dyDescent="0.3">
      <c r="A32" s="5" t="s">
        <v>26</v>
      </c>
      <c r="B32" s="9"/>
      <c r="C32" s="9"/>
      <c r="D32" s="79">
        <f>D31/C31</f>
        <v>0.15094339622641509</v>
      </c>
      <c r="E32" s="79">
        <f>E31/C31</f>
        <v>0.14150943396226415</v>
      </c>
      <c r="F32" s="79">
        <f>F31/C31</f>
        <v>0.26415094339622641</v>
      </c>
      <c r="G32" s="79">
        <f>G31/C31</f>
        <v>0</v>
      </c>
      <c r="H32" s="79">
        <f>H31/C31</f>
        <v>0.24056603773584906</v>
      </c>
      <c r="I32" s="79">
        <f>I31/C31</f>
        <v>0.20283018867924529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4E79-6F5E-4254-9435-AA1A7531D573}">
  <dimension ref="A1:I32"/>
  <sheetViews>
    <sheetView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40.42578125" style="21" customWidth="1"/>
    <col min="2" max="2" width="14.42578125" style="21" customWidth="1"/>
    <col min="3" max="3" width="16.140625" style="21" customWidth="1"/>
    <col min="4" max="4" width="14" style="21" bestFit="1" customWidth="1"/>
    <col min="5" max="5" width="12.5703125" style="21" bestFit="1" customWidth="1"/>
    <col min="6" max="6" width="12.7109375" style="21" bestFit="1" customWidth="1"/>
    <col min="7" max="7" width="21.5703125" style="21" customWidth="1"/>
    <col min="8" max="8" width="19" style="21" bestFit="1" customWidth="1"/>
    <col min="9" max="9" width="13.7109375" style="21" customWidth="1"/>
    <col min="10" max="16384" width="9.140625" style="21"/>
  </cols>
  <sheetData>
    <row r="1" spans="1:9" s="25" customFormat="1" ht="16.5" x14ac:dyDescent="0.25">
      <c r="A1" s="26" t="s">
        <v>28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</row>
    <row r="2" spans="1:9" ht="16.5" x14ac:dyDescent="0.25">
      <c r="A2" s="12" t="s">
        <v>121</v>
      </c>
      <c r="B2" s="12">
        <v>12</v>
      </c>
      <c r="C2" s="12">
        <v>12</v>
      </c>
      <c r="D2" s="12">
        <v>0</v>
      </c>
      <c r="E2" s="12">
        <v>2</v>
      </c>
      <c r="F2" s="12">
        <v>7</v>
      </c>
      <c r="G2" s="12">
        <v>0</v>
      </c>
      <c r="H2" s="12">
        <v>1</v>
      </c>
      <c r="I2" s="12">
        <v>2</v>
      </c>
    </row>
    <row r="3" spans="1:9" ht="16.5" x14ac:dyDescent="0.25">
      <c r="A3" s="12" t="s">
        <v>122</v>
      </c>
      <c r="B3" s="12">
        <v>8</v>
      </c>
      <c r="C3" s="12">
        <v>3</v>
      </c>
      <c r="D3" s="12">
        <v>0</v>
      </c>
      <c r="E3" s="12">
        <v>0</v>
      </c>
      <c r="F3" s="12">
        <v>3</v>
      </c>
      <c r="G3" s="12">
        <v>0</v>
      </c>
      <c r="H3" s="12">
        <v>0</v>
      </c>
      <c r="I3" s="12">
        <v>0</v>
      </c>
    </row>
    <row r="4" spans="1:9" ht="16.5" x14ac:dyDescent="0.25">
      <c r="A4" s="12" t="s">
        <v>123</v>
      </c>
      <c r="B4" s="12">
        <v>11</v>
      </c>
      <c r="C4" s="12">
        <v>16</v>
      </c>
      <c r="D4" s="12">
        <v>7</v>
      </c>
      <c r="E4" s="12">
        <v>1</v>
      </c>
      <c r="F4" s="12">
        <v>5</v>
      </c>
      <c r="G4" s="12">
        <v>0</v>
      </c>
      <c r="H4" s="12">
        <v>0</v>
      </c>
      <c r="I4" s="12">
        <v>3</v>
      </c>
    </row>
    <row r="5" spans="1:9" ht="16.5" x14ac:dyDescent="0.25">
      <c r="A5" s="12" t="s">
        <v>124</v>
      </c>
      <c r="B5" s="12">
        <v>6</v>
      </c>
      <c r="C5" s="12">
        <v>6</v>
      </c>
      <c r="D5" s="12">
        <v>1</v>
      </c>
      <c r="E5" s="12">
        <v>3</v>
      </c>
      <c r="F5" s="12">
        <v>0</v>
      </c>
      <c r="G5" s="12">
        <v>0</v>
      </c>
      <c r="H5" s="12">
        <v>0</v>
      </c>
      <c r="I5" s="12">
        <v>2</v>
      </c>
    </row>
    <row r="6" spans="1:9" ht="16.5" x14ac:dyDescent="0.25">
      <c r="A6" s="12" t="s">
        <v>125</v>
      </c>
      <c r="B6" s="12">
        <v>4</v>
      </c>
      <c r="C6" s="12">
        <v>11</v>
      </c>
      <c r="D6" s="12">
        <v>1</v>
      </c>
      <c r="E6" s="12">
        <v>7</v>
      </c>
      <c r="F6" s="12">
        <v>2</v>
      </c>
      <c r="G6" s="12">
        <v>0</v>
      </c>
      <c r="H6" s="12">
        <v>0</v>
      </c>
      <c r="I6" s="12">
        <v>1</v>
      </c>
    </row>
    <row r="7" spans="1:9" ht="16.5" x14ac:dyDescent="0.25">
      <c r="A7" s="12" t="s">
        <v>126</v>
      </c>
      <c r="B7" s="12">
        <v>1</v>
      </c>
      <c r="C7" s="12">
        <v>3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2</v>
      </c>
    </row>
    <row r="8" spans="1:9" ht="16.5" x14ac:dyDescent="0.25">
      <c r="A8" s="12" t="s">
        <v>127</v>
      </c>
      <c r="B8" s="12">
        <v>6</v>
      </c>
      <c r="C8" s="12">
        <v>6</v>
      </c>
      <c r="D8" s="12">
        <v>1</v>
      </c>
      <c r="E8" s="12">
        <v>1</v>
      </c>
      <c r="F8" s="12">
        <v>3</v>
      </c>
      <c r="G8" s="12">
        <v>0</v>
      </c>
      <c r="H8" s="12">
        <v>0</v>
      </c>
      <c r="I8" s="12">
        <v>1</v>
      </c>
    </row>
    <row r="9" spans="1:9" ht="16.5" x14ac:dyDescent="0.25">
      <c r="A9" s="12" t="s">
        <v>128</v>
      </c>
      <c r="B9" s="12">
        <v>3</v>
      </c>
      <c r="C9" s="12">
        <v>5</v>
      </c>
      <c r="D9" s="12">
        <v>0</v>
      </c>
      <c r="E9" s="12">
        <v>2</v>
      </c>
      <c r="F9" s="12">
        <v>1</v>
      </c>
      <c r="G9" s="12">
        <v>0</v>
      </c>
      <c r="H9" s="12">
        <v>0</v>
      </c>
      <c r="I9" s="12">
        <v>2</v>
      </c>
    </row>
    <row r="10" spans="1:9" ht="16.5" x14ac:dyDescent="0.25">
      <c r="A10" s="12" t="s">
        <v>129</v>
      </c>
      <c r="B10" s="12">
        <v>11</v>
      </c>
      <c r="C10" s="12">
        <v>9</v>
      </c>
      <c r="D10" s="12">
        <v>4</v>
      </c>
      <c r="E10" s="12">
        <v>0</v>
      </c>
      <c r="F10" s="12">
        <v>2</v>
      </c>
      <c r="G10" s="12">
        <v>0</v>
      </c>
      <c r="H10" s="12">
        <v>0</v>
      </c>
      <c r="I10" s="12">
        <v>3</v>
      </c>
    </row>
    <row r="11" spans="1:9" ht="16.5" x14ac:dyDescent="0.25">
      <c r="A11" s="12" t="s">
        <v>130</v>
      </c>
      <c r="B11" s="12">
        <v>5</v>
      </c>
      <c r="C11" s="12">
        <v>7</v>
      </c>
      <c r="D11" s="12">
        <v>0</v>
      </c>
      <c r="E11" s="12">
        <v>0</v>
      </c>
      <c r="F11" s="12">
        <v>5</v>
      </c>
      <c r="G11" s="12">
        <v>0</v>
      </c>
      <c r="H11" s="12">
        <v>1</v>
      </c>
      <c r="I11" s="12">
        <v>1</v>
      </c>
    </row>
    <row r="12" spans="1:9" ht="16.5" x14ac:dyDescent="0.25">
      <c r="A12" s="12" t="s">
        <v>131</v>
      </c>
      <c r="B12" s="12">
        <v>1</v>
      </c>
      <c r="C12" s="12">
        <v>16</v>
      </c>
      <c r="D12" s="12">
        <v>0</v>
      </c>
      <c r="E12" s="12">
        <v>0</v>
      </c>
      <c r="F12" s="12">
        <v>1</v>
      </c>
      <c r="G12" s="12">
        <v>0</v>
      </c>
      <c r="H12" s="12">
        <v>15</v>
      </c>
      <c r="I12" s="12">
        <v>0</v>
      </c>
    </row>
    <row r="13" spans="1:9" ht="16.5" x14ac:dyDescent="0.25">
      <c r="A13" s="12" t="s">
        <v>132</v>
      </c>
      <c r="B13" s="12">
        <v>18</v>
      </c>
      <c r="C13" s="12">
        <v>3</v>
      </c>
      <c r="D13" s="12">
        <v>2</v>
      </c>
      <c r="E13" s="12">
        <v>0</v>
      </c>
      <c r="F13" s="12">
        <v>1</v>
      </c>
      <c r="G13" s="12">
        <v>0</v>
      </c>
      <c r="H13" s="12">
        <v>0</v>
      </c>
      <c r="I13" s="12">
        <v>0</v>
      </c>
    </row>
    <row r="14" spans="1:9" ht="16.5" x14ac:dyDescent="0.25">
      <c r="A14" s="12" t="s">
        <v>133</v>
      </c>
      <c r="B14" s="12">
        <v>1</v>
      </c>
      <c r="C14" s="12">
        <v>8</v>
      </c>
      <c r="D14" s="12">
        <v>0</v>
      </c>
      <c r="E14" s="12">
        <v>1</v>
      </c>
      <c r="F14" s="12">
        <v>7</v>
      </c>
      <c r="G14" s="12">
        <v>0</v>
      </c>
      <c r="H14" s="12">
        <v>0</v>
      </c>
      <c r="I14" s="12">
        <v>0</v>
      </c>
    </row>
    <row r="15" spans="1:9" ht="16.5" x14ac:dyDescent="0.25">
      <c r="A15" s="12" t="s">
        <v>134</v>
      </c>
      <c r="B15" s="12">
        <v>3</v>
      </c>
      <c r="C15" s="12">
        <v>9</v>
      </c>
      <c r="D15" s="12">
        <v>0</v>
      </c>
      <c r="E15" s="12">
        <v>0</v>
      </c>
      <c r="F15" s="12">
        <v>8</v>
      </c>
      <c r="G15" s="12">
        <v>0</v>
      </c>
      <c r="H15" s="12">
        <v>0</v>
      </c>
      <c r="I15" s="12">
        <v>1</v>
      </c>
    </row>
    <row r="16" spans="1:9" ht="16.5" x14ac:dyDescent="0.25">
      <c r="A16" s="12" t="s">
        <v>135</v>
      </c>
      <c r="B16" s="12">
        <v>2</v>
      </c>
      <c r="C16" s="12">
        <v>2</v>
      </c>
      <c r="D16" s="12">
        <v>0</v>
      </c>
      <c r="E16" s="12">
        <v>1</v>
      </c>
      <c r="F16" s="12">
        <v>0</v>
      </c>
      <c r="G16" s="12">
        <v>0</v>
      </c>
      <c r="H16" s="12">
        <v>0</v>
      </c>
      <c r="I16" s="12">
        <v>1</v>
      </c>
    </row>
    <row r="17" spans="1:9" ht="16.5" x14ac:dyDescent="0.25">
      <c r="A17" s="12" t="s">
        <v>136</v>
      </c>
      <c r="B17" s="12">
        <v>6</v>
      </c>
      <c r="C17" s="12">
        <v>4</v>
      </c>
      <c r="D17" s="12">
        <v>0</v>
      </c>
      <c r="E17" s="12">
        <v>0</v>
      </c>
      <c r="F17" s="12">
        <v>2</v>
      </c>
      <c r="G17" s="12">
        <v>0</v>
      </c>
      <c r="H17" s="12">
        <v>0</v>
      </c>
      <c r="I17" s="12">
        <v>2</v>
      </c>
    </row>
    <row r="18" spans="1:9" ht="16.5" x14ac:dyDescent="0.25">
      <c r="A18" s="12" t="s">
        <v>137</v>
      </c>
      <c r="B18" s="12">
        <v>6</v>
      </c>
      <c r="C18" s="12">
        <v>6</v>
      </c>
      <c r="D18" s="12">
        <v>0</v>
      </c>
      <c r="E18" s="12">
        <v>0</v>
      </c>
      <c r="F18" s="12">
        <v>2</v>
      </c>
      <c r="G18" s="12">
        <v>0</v>
      </c>
      <c r="H18" s="12">
        <v>0</v>
      </c>
      <c r="I18" s="12">
        <v>4</v>
      </c>
    </row>
    <row r="19" spans="1:9" ht="16.5" x14ac:dyDescent="0.25">
      <c r="A19" s="12" t="s">
        <v>138</v>
      </c>
      <c r="B19" s="12">
        <v>11</v>
      </c>
      <c r="C19" s="12">
        <v>5</v>
      </c>
      <c r="D19" s="12">
        <v>0</v>
      </c>
      <c r="E19" s="12">
        <v>1</v>
      </c>
      <c r="F19" s="12">
        <v>1</v>
      </c>
      <c r="G19" s="12">
        <v>0</v>
      </c>
      <c r="H19" s="12">
        <v>0</v>
      </c>
      <c r="I19" s="12">
        <v>3</v>
      </c>
    </row>
    <row r="20" spans="1:9" ht="16.5" x14ac:dyDescent="0.25">
      <c r="A20" s="12" t="s">
        <v>139</v>
      </c>
      <c r="B20" s="12">
        <v>4</v>
      </c>
      <c r="C20" s="12">
        <v>5</v>
      </c>
      <c r="D20" s="12">
        <v>0</v>
      </c>
      <c r="E20" s="12">
        <v>1</v>
      </c>
      <c r="F20" s="12">
        <v>3</v>
      </c>
      <c r="G20" s="12">
        <v>0</v>
      </c>
      <c r="H20" s="12">
        <v>0</v>
      </c>
      <c r="I20" s="12">
        <v>1</v>
      </c>
    </row>
    <row r="21" spans="1:9" ht="16.5" x14ac:dyDescent="0.25">
      <c r="A21" s="12" t="s">
        <v>140</v>
      </c>
      <c r="B21" s="12">
        <v>5</v>
      </c>
      <c r="C21" s="12">
        <v>2</v>
      </c>
      <c r="D21" s="12">
        <v>2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</row>
    <row r="22" spans="1:9" ht="16.5" x14ac:dyDescent="0.25">
      <c r="A22" s="12" t="s">
        <v>141</v>
      </c>
      <c r="B22" s="12">
        <v>9</v>
      </c>
      <c r="C22" s="12">
        <v>7</v>
      </c>
      <c r="D22" s="12">
        <v>0</v>
      </c>
      <c r="E22" s="12">
        <v>1</v>
      </c>
      <c r="F22" s="12">
        <v>4</v>
      </c>
      <c r="G22" s="12">
        <v>0</v>
      </c>
      <c r="H22" s="12">
        <v>0</v>
      </c>
      <c r="I22" s="12">
        <v>2</v>
      </c>
    </row>
    <row r="30" spans="1:9" ht="18.75" x14ac:dyDescent="0.3">
      <c r="A30" s="2" t="s">
        <v>0</v>
      </c>
      <c r="B30" s="1">
        <f>AVERAGE(B2:B29)</f>
        <v>6.333333333333333</v>
      </c>
      <c r="C30" s="1">
        <f t="shared" ref="C30:I30" si="0">AVERAGE(C2:C29)</f>
        <v>6.9047619047619051</v>
      </c>
      <c r="D30" s="1">
        <f t="shared" si="0"/>
        <v>0.8571428571428571</v>
      </c>
      <c r="E30" s="1">
        <f t="shared" si="0"/>
        <v>1.0476190476190477</v>
      </c>
      <c r="F30" s="1">
        <f t="shared" si="0"/>
        <v>2.7142857142857144</v>
      </c>
      <c r="G30" s="1">
        <f t="shared" si="0"/>
        <v>0</v>
      </c>
      <c r="H30" s="1">
        <f t="shared" si="0"/>
        <v>0.80952380952380953</v>
      </c>
      <c r="I30" s="1">
        <f t="shared" si="0"/>
        <v>1.4761904761904763</v>
      </c>
    </row>
    <row r="31" spans="1:9" ht="18.75" x14ac:dyDescent="0.3">
      <c r="A31" s="3" t="s">
        <v>23</v>
      </c>
      <c r="B31" s="4">
        <f>SUM(B2:B29)</f>
        <v>133</v>
      </c>
      <c r="C31" s="4">
        <f t="shared" ref="C31:I31" si="1">SUM(C2:C29)</f>
        <v>145</v>
      </c>
      <c r="D31" s="4">
        <f t="shared" si="1"/>
        <v>18</v>
      </c>
      <c r="E31" s="4">
        <f t="shared" si="1"/>
        <v>22</v>
      </c>
      <c r="F31" s="4">
        <f t="shared" si="1"/>
        <v>57</v>
      </c>
      <c r="G31" s="4">
        <f t="shared" si="1"/>
        <v>0</v>
      </c>
      <c r="H31" s="4">
        <f t="shared" si="1"/>
        <v>17</v>
      </c>
      <c r="I31" s="4">
        <f t="shared" si="1"/>
        <v>31</v>
      </c>
    </row>
    <row r="32" spans="1:9" ht="18.75" x14ac:dyDescent="0.3">
      <c r="A32" s="5" t="s">
        <v>26</v>
      </c>
      <c r="B32" s="9"/>
      <c r="C32" s="9"/>
      <c r="D32" s="79">
        <f>D31/C31</f>
        <v>0.12413793103448276</v>
      </c>
      <c r="E32" s="79">
        <f>E31/C31</f>
        <v>0.15172413793103448</v>
      </c>
      <c r="F32" s="79">
        <f>F31/C31</f>
        <v>0.39310344827586208</v>
      </c>
      <c r="G32" s="79">
        <f>G31/C31</f>
        <v>0</v>
      </c>
      <c r="H32" s="79">
        <f>H31/C31</f>
        <v>0.11724137931034483</v>
      </c>
      <c r="I32" s="79">
        <f>I31/C31</f>
        <v>0.21379310344827587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707C-91C2-4E1E-B8D4-8F54976AD195}">
  <dimension ref="A1:I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9.140625" defaultRowHeight="15" x14ac:dyDescent="0.25"/>
  <cols>
    <col min="1" max="1" width="40.42578125" style="29" customWidth="1"/>
    <col min="2" max="2" width="13.28515625" style="7" customWidth="1"/>
    <col min="3" max="3" width="14.42578125" style="7" customWidth="1"/>
    <col min="4" max="5" width="14.5703125" style="7" customWidth="1"/>
    <col min="6" max="6" width="14.42578125" style="7" customWidth="1"/>
    <col min="7" max="7" width="18.140625" style="7" customWidth="1"/>
    <col min="8" max="8" width="19.28515625" style="7" customWidth="1"/>
    <col min="9" max="9" width="13.7109375" style="7" customWidth="1"/>
    <col min="10" max="16384" width="9.140625" style="7"/>
  </cols>
  <sheetData>
    <row r="1" spans="1:9" s="22" customFormat="1" ht="16.5" x14ac:dyDescent="0.25">
      <c r="A1" s="30" t="s">
        <v>28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</row>
    <row r="2" spans="1:9" ht="16.5" x14ac:dyDescent="0.25">
      <c r="A2" s="31" t="s">
        <v>142</v>
      </c>
      <c r="B2" s="12">
        <v>26</v>
      </c>
      <c r="C2" s="12">
        <v>17</v>
      </c>
      <c r="D2" s="12">
        <v>1</v>
      </c>
      <c r="E2" s="12">
        <v>1</v>
      </c>
      <c r="F2" s="12">
        <v>12</v>
      </c>
      <c r="G2" s="12">
        <v>0</v>
      </c>
      <c r="H2" s="12">
        <v>0</v>
      </c>
      <c r="I2" s="12">
        <v>3</v>
      </c>
    </row>
    <row r="3" spans="1:9" ht="16.5" x14ac:dyDescent="0.25">
      <c r="A3" s="31" t="s">
        <v>143</v>
      </c>
      <c r="B3" s="12">
        <v>16</v>
      </c>
      <c r="C3" s="12">
        <v>20</v>
      </c>
      <c r="D3" s="12">
        <v>0</v>
      </c>
      <c r="E3" s="12">
        <v>1</v>
      </c>
      <c r="F3" s="12">
        <v>8</v>
      </c>
      <c r="G3" s="12">
        <v>0</v>
      </c>
      <c r="H3" s="12">
        <v>2</v>
      </c>
      <c r="I3" s="12">
        <v>9</v>
      </c>
    </row>
    <row r="4" spans="1:9" ht="16.5" x14ac:dyDescent="0.25">
      <c r="A4" s="31" t="s">
        <v>144</v>
      </c>
      <c r="B4" s="12">
        <v>9</v>
      </c>
      <c r="C4" s="12">
        <v>5</v>
      </c>
      <c r="D4" s="12">
        <v>1</v>
      </c>
      <c r="E4" s="12">
        <v>0</v>
      </c>
      <c r="F4" s="12">
        <v>3</v>
      </c>
      <c r="G4" s="12">
        <v>0</v>
      </c>
      <c r="H4" s="12">
        <v>0</v>
      </c>
      <c r="I4" s="12">
        <v>1</v>
      </c>
    </row>
    <row r="5" spans="1:9" ht="16.5" x14ac:dyDescent="0.25">
      <c r="A5" s="31" t="s">
        <v>145</v>
      </c>
      <c r="B5" s="12">
        <v>11</v>
      </c>
      <c r="C5" s="12">
        <v>9</v>
      </c>
      <c r="D5" s="12">
        <v>5</v>
      </c>
      <c r="E5" s="12">
        <v>2</v>
      </c>
      <c r="F5" s="12">
        <v>1</v>
      </c>
      <c r="G5" s="12">
        <v>0</v>
      </c>
      <c r="H5" s="12">
        <v>0</v>
      </c>
      <c r="I5" s="12">
        <v>1</v>
      </c>
    </row>
    <row r="6" spans="1:9" ht="16.5" x14ac:dyDescent="0.25">
      <c r="A6" s="31" t="s">
        <v>146</v>
      </c>
      <c r="B6" s="12">
        <v>3</v>
      </c>
      <c r="C6" s="12">
        <v>4</v>
      </c>
      <c r="D6" s="12">
        <v>3</v>
      </c>
      <c r="E6" s="12">
        <v>0</v>
      </c>
      <c r="F6" s="12">
        <v>1</v>
      </c>
      <c r="G6" s="12">
        <v>0</v>
      </c>
      <c r="H6" s="12">
        <v>0</v>
      </c>
      <c r="I6" s="12">
        <v>0</v>
      </c>
    </row>
    <row r="7" spans="1:9" ht="16.5" x14ac:dyDescent="0.25">
      <c r="A7" s="31" t="s">
        <v>147</v>
      </c>
      <c r="B7" s="12">
        <v>8</v>
      </c>
      <c r="C7" s="12">
        <v>14</v>
      </c>
      <c r="D7" s="12">
        <v>3</v>
      </c>
      <c r="E7" s="12">
        <v>0</v>
      </c>
      <c r="F7" s="12">
        <v>3</v>
      </c>
      <c r="G7" s="12">
        <v>0</v>
      </c>
      <c r="H7" s="12">
        <v>8</v>
      </c>
      <c r="I7" s="12">
        <v>0</v>
      </c>
    </row>
    <row r="8" spans="1:9" ht="16.5" x14ac:dyDescent="0.25">
      <c r="A8" s="31" t="s">
        <v>148</v>
      </c>
      <c r="B8" s="12">
        <v>2</v>
      </c>
      <c r="C8" s="12">
        <v>12</v>
      </c>
      <c r="D8" s="12">
        <v>3</v>
      </c>
      <c r="E8" s="12">
        <v>7</v>
      </c>
      <c r="F8" s="12">
        <v>1</v>
      </c>
      <c r="G8" s="12">
        <v>0</v>
      </c>
      <c r="H8" s="12">
        <v>0</v>
      </c>
      <c r="I8" s="12">
        <v>1</v>
      </c>
    </row>
    <row r="9" spans="1:9" ht="16.5" x14ac:dyDescent="0.25">
      <c r="A9" s="31" t="s">
        <v>149</v>
      </c>
      <c r="B9" s="12">
        <v>9</v>
      </c>
      <c r="C9" s="12">
        <v>6</v>
      </c>
      <c r="D9" s="12">
        <v>3</v>
      </c>
      <c r="E9" s="12">
        <v>0</v>
      </c>
      <c r="F9" s="12">
        <v>1</v>
      </c>
      <c r="G9" s="12">
        <v>0</v>
      </c>
      <c r="H9" s="12">
        <v>1</v>
      </c>
      <c r="I9" s="12">
        <v>1</v>
      </c>
    </row>
    <row r="10" spans="1:9" ht="16.5" x14ac:dyDescent="0.25">
      <c r="A10" s="31" t="s">
        <v>150</v>
      </c>
      <c r="B10" s="12">
        <v>3</v>
      </c>
      <c r="C10" s="12">
        <v>3</v>
      </c>
      <c r="D10" s="12">
        <v>1</v>
      </c>
      <c r="E10" s="12">
        <v>0</v>
      </c>
      <c r="F10" s="12">
        <v>1</v>
      </c>
      <c r="G10" s="12">
        <v>0</v>
      </c>
      <c r="H10" s="12">
        <v>0</v>
      </c>
      <c r="I10" s="12">
        <v>1</v>
      </c>
    </row>
    <row r="11" spans="1:9" ht="16.5" x14ac:dyDescent="0.25">
      <c r="A11" s="31" t="s">
        <v>151</v>
      </c>
      <c r="B11" s="12">
        <v>6</v>
      </c>
      <c r="C11" s="12">
        <v>6</v>
      </c>
      <c r="D11" s="12">
        <v>1</v>
      </c>
      <c r="E11" s="12">
        <v>0</v>
      </c>
      <c r="F11" s="12">
        <v>3</v>
      </c>
      <c r="G11" s="12">
        <v>0</v>
      </c>
      <c r="H11" s="12">
        <v>0</v>
      </c>
      <c r="I11" s="12">
        <v>2</v>
      </c>
    </row>
    <row r="12" spans="1:9" ht="16.5" x14ac:dyDescent="0.25">
      <c r="A12" s="31" t="s">
        <v>152</v>
      </c>
      <c r="B12" s="12">
        <v>6</v>
      </c>
      <c r="C12" s="12">
        <v>10</v>
      </c>
      <c r="D12" s="12">
        <v>1</v>
      </c>
      <c r="E12" s="12">
        <v>2</v>
      </c>
      <c r="F12" s="12">
        <v>6</v>
      </c>
      <c r="G12" s="12">
        <v>0</v>
      </c>
      <c r="H12" s="12">
        <v>0</v>
      </c>
      <c r="I12" s="12">
        <v>1</v>
      </c>
    </row>
    <row r="13" spans="1:9" ht="16.5" x14ac:dyDescent="0.25">
      <c r="A13" s="31" t="s">
        <v>153</v>
      </c>
      <c r="B13" s="12">
        <v>21</v>
      </c>
      <c r="C13" s="12">
        <v>13</v>
      </c>
      <c r="D13" s="12">
        <v>0</v>
      </c>
      <c r="E13" s="12">
        <v>2</v>
      </c>
      <c r="F13" s="12">
        <v>9</v>
      </c>
      <c r="G13" s="12">
        <v>0</v>
      </c>
      <c r="H13" s="12">
        <v>0</v>
      </c>
      <c r="I13" s="12">
        <v>2</v>
      </c>
    </row>
    <row r="14" spans="1:9" ht="16.5" x14ac:dyDescent="0.25">
      <c r="A14" s="31" t="s">
        <v>154</v>
      </c>
      <c r="B14" s="12">
        <v>9</v>
      </c>
      <c r="C14" s="12">
        <v>14</v>
      </c>
      <c r="D14" s="12">
        <v>1</v>
      </c>
      <c r="E14" s="12">
        <v>2</v>
      </c>
      <c r="F14" s="12">
        <v>3</v>
      </c>
      <c r="G14" s="12">
        <v>0</v>
      </c>
      <c r="H14" s="12">
        <v>1</v>
      </c>
      <c r="I14" s="12">
        <v>7</v>
      </c>
    </row>
    <row r="15" spans="1:9" ht="16.5" x14ac:dyDescent="0.25">
      <c r="A15" s="31" t="s">
        <v>155</v>
      </c>
      <c r="B15" s="12">
        <v>11</v>
      </c>
      <c r="C15" s="12">
        <v>8</v>
      </c>
      <c r="D15" s="12">
        <v>0</v>
      </c>
      <c r="E15" s="12">
        <v>0</v>
      </c>
      <c r="F15" s="12">
        <v>6</v>
      </c>
      <c r="G15" s="12">
        <v>0</v>
      </c>
      <c r="H15" s="12">
        <v>2</v>
      </c>
      <c r="I15" s="12">
        <v>0</v>
      </c>
    </row>
    <row r="16" spans="1:9" ht="16.5" x14ac:dyDescent="0.25">
      <c r="A16" s="31" t="s">
        <v>156</v>
      </c>
      <c r="B16" s="12">
        <v>16</v>
      </c>
      <c r="C16" s="12">
        <v>10</v>
      </c>
      <c r="D16" s="12">
        <v>0</v>
      </c>
      <c r="E16" s="12">
        <v>2</v>
      </c>
      <c r="F16" s="12">
        <v>5</v>
      </c>
      <c r="G16" s="12">
        <v>0</v>
      </c>
      <c r="H16" s="12">
        <v>0</v>
      </c>
      <c r="I16" s="12">
        <v>3</v>
      </c>
    </row>
    <row r="17" spans="1:9" ht="16.5" x14ac:dyDescent="0.25">
      <c r="A17" s="31" t="s">
        <v>157</v>
      </c>
      <c r="B17" s="12">
        <v>15</v>
      </c>
      <c r="C17" s="12">
        <v>14</v>
      </c>
      <c r="D17" s="12">
        <v>2</v>
      </c>
      <c r="E17" s="12">
        <v>4</v>
      </c>
      <c r="F17" s="12">
        <v>5</v>
      </c>
      <c r="G17" s="12">
        <v>0</v>
      </c>
      <c r="H17" s="12">
        <v>0</v>
      </c>
      <c r="I17" s="12">
        <v>3</v>
      </c>
    </row>
    <row r="18" spans="1:9" ht="16.5" x14ac:dyDescent="0.25">
      <c r="A18" s="31" t="s">
        <v>158</v>
      </c>
      <c r="B18" s="12">
        <v>6</v>
      </c>
      <c r="C18" s="12">
        <v>3</v>
      </c>
      <c r="D18" s="12">
        <v>0</v>
      </c>
      <c r="E18" s="12">
        <v>0</v>
      </c>
      <c r="F18" s="12">
        <v>2</v>
      </c>
      <c r="G18" s="12">
        <v>0</v>
      </c>
      <c r="H18" s="12">
        <v>0</v>
      </c>
      <c r="I18" s="12">
        <v>1</v>
      </c>
    </row>
    <row r="19" spans="1:9" ht="16.5" x14ac:dyDescent="0.25">
      <c r="A19" s="31" t="s">
        <v>159</v>
      </c>
      <c r="B19" s="12">
        <v>16</v>
      </c>
      <c r="C19" s="12">
        <v>21</v>
      </c>
      <c r="D19" s="12">
        <v>8</v>
      </c>
      <c r="E19" s="12">
        <v>0</v>
      </c>
      <c r="F19" s="12">
        <v>6</v>
      </c>
      <c r="G19" s="12">
        <v>0</v>
      </c>
      <c r="H19" s="12">
        <v>0</v>
      </c>
      <c r="I19" s="12">
        <v>7</v>
      </c>
    </row>
    <row r="20" spans="1:9" ht="16.5" x14ac:dyDescent="0.25">
      <c r="A20" s="31" t="s">
        <v>160</v>
      </c>
      <c r="B20" s="12">
        <v>5</v>
      </c>
      <c r="C20" s="12">
        <v>5</v>
      </c>
      <c r="D20" s="12">
        <v>2</v>
      </c>
      <c r="E20" s="12">
        <v>0</v>
      </c>
      <c r="F20" s="12">
        <v>2</v>
      </c>
      <c r="G20" s="12">
        <v>0</v>
      </c>
      <c r="H20" s="12">
        <v>0</v>
      </c>
      <c r="I20" s="12">
        <v>1</v>
      </c>
    </row>
    <row r="21" spans="1:9" ht="16.5" x14ac:dyDescent="0.25">
      <c r="A21" s="31" t="s">
        <v>161</v>
      </c>
      <c r="B21" s="12">
        <v>9</v>
      </c>
      <c r="C21" s="12">
        <v>3</v>
      </c>
      <c r="D21" s="12">
        <v>1</v>
      </c>
      <c r="E21" s="12">
        <v>0</v>
      </c>
      <c r="F21" s="12">
        <v>2</v>
      </c>
      <c r="G21" s="12">
        <v>0</v>
      </c>
      <c r="H21" s="12">
        <v>0</v>
      </c>
      <c r="I21" s="12">
        <v>0</v>
      </c>
    </row>
    <row r="30" spans="1:9" ht="18.75" x14ac:dyDescent="0.3">
      <c r="A30" s="2" t="s">
        <v>0</v>
      </c>
      <c r="B30" s="1">
        <f>AVERAGE(B2:B29)</f>
        <v>10.35</v>
      </c>
      <c r="C30" s="1">
        <f t="shared" ref="C30:I30" si="0">AVERAGE(C2:C29)</f>
        <v>9.85</v>
      </c>
      <c r="D30" s="1">
        <f t="shared" si="0"/>
        <v>1.8</v>
      </c>
      <c r="E30" s="1">
        <f t="shared" si="0"/>
        <v>1.1499999999999999</v>
      </c>
      <c r="F30" s="1">
        <f t="shared" si="0"/>
        <v>4</v>
      </c>
      <c r="G30" s="1">
        <f t="shared" si="0"/>
        <v>0</v>
      </c>
      <c r="H30" s="1">
        <f t="shared" si="0"/>
        <v>0.7</v>
      </c>
      <c r="I30" s="1">
        <f t="shared" si="0"/>
        <v>2.2000000000000002</v>
      </c>
    </row>
    <row r="31" spans="1:9" ht="18.75" x14ac:dyDescent="0.3">
      <c r="A31" s="3" t="s">
        <v>23</v>
      </c>
      <c r="B31" s="4">
        <f>SUM(B2:B29)</f>
        <v>207</v>
      </c>
      <c r="C31" s="4">
        <f t="shared" ref="C31:I31" si="1">SUM(C2:C29)</f>
        <v>197</v>
      </c>
      <c r="D31" s="4">
        <f t="shared" si="1"/>
        <v>36</v>
      </c>
      <c r="E31" s="4">
        <f t="shared" si="1"/>
        <v>23</v>
      </c>
      <c r="F31" s="4">
        <f t="shared" si="1"/>
        <v>80</v>
      </c>
      <c r="G31" s="4">
        <f t="shared" si="1"/>
        <v>0</v>
      </c>
      <c r="H31" s="4">
        <f t="shared" si="1"/>
        <v>14</v>
      </c>
      <c r="I31" s="4">
        <f t="shared" si="1"/>
        <v>44</v>
      </c>
    </row>
    <row r="32" spans="1:9" ht="18.75" x14ac:dyDescent="0.3">
      <c r="A32" s="5" t="s">
        <v>26</v>
      </c>
      <c r="B32" s="9"/>
      <c r="C32" s="9"/>
      <c r="D32" s="79">
        <f>D31/C31</f>
        <v>0.18274111675126903</v>
      </c>
      <c r="E32" s="79">
        <f>E31/C31</f>
        <v>0.116751269035533</v>
      </c>
      <c r="F32" s="79">
        <f>F31/C31</f>
        <v>0.40609137055837563</v>
      </c>
      <c r="G32" s="79">
        <f>G31/C31</f>
        <v>0</v>
      </c>
      <c r="H32" s="79">
        <f>H31/C31</f>
        <v>7.1065989847715741E-2</v>
      </c>
      <c r="I32" s="79">
        <f>I31/C31</f>
        <v>0.2233502538071066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881F-7CF4-4552-83BF-E7BF5569FD80}">
  <dimension ref="A1:J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0" sqref="A30:J32"/>
    </sheetView>
  </sheetViews>
  <sheetFormatPr defaultColWidth="9.140625" defaultRowHeight="15" x14ac:dyDescent="0.25"/>
  <cols>
    <col min="1" max="1" width="37.85546875" style="21" customWidth="1"/>
    <col min="2" max="2" width="15.42578125" style="21" customWidth="1"/>
    <col min="3" max="3" width="16" style="21" customWidth="1"/>
    <col min="4" max="4" width="16.42578125" style="21" customWidth="1"/>
    <col min="5" max="5" width="15.140625" style="21" customWidth="1"/>
    <col min="6" max="6" width="17.28515625" style="21" customWidth="1"/>
    <col min="7" max="7" width="16.7109375" style="21" customWidth="1"/>
    <col min="8" max="8" width="21.42578125" style="21" customWidth="1"/>
    <col min="9" max="9" width="15.85546875" style="21" customWidth="1"/>
    <col min="10" max="10" width="18.7109375" style="21" customWidth="1"/>
    <col min="11" max="16384" width="9.140625" style="21"/>
  </cols>
  <sheetData>
    <row r="1" spans="1:10" s="25" customFormat="1" ht="16.5" x14ac:dyDescent="0.25">
      <c r="A1" s="26" t="s">
        <v>28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  <c r="J1" s="26" t="s">
        <v>164</v>
      </c>
    </row>
    <row r="2" spans="1:10" ht="16.5" x14ac:dyDescent="0.25">
      <c r="A2" s="12" t="s">
        <v>165</v>
      </c>
      <c r="B2" s="12">
        <v>10</v>
      </c>
      <c r="C2" s="12">
        <v>12</v>
      </c>
      <c r="D2" s="12">
        <v>6</v>
      </c>
      <c r="E2" s="12">
        <v>0</v>
      </c>
      <c r="F2" s="12">
        <v>5</v>
      </c>
      <c r="G2" s="12">
        <v>0</v>
      </c>
      <c r="H2" s="12">
        <v>0</v>
      </c>
      <c r="I2" s="12">
        <v>1</v>
      </c>
      <c r="J2" s="12">
        <v>0</v>
      </c>
    </row>
    <row r="3" spans="1:10" ht="16.5" x14ac:dyDescent="0.25">
      <c r="A3" s="12" t="s">
        <v>166</v>
      </c>
      <c r="B3" s="12">
        <v>9</v>
      </c>
      <c r="C3" s="12">
        <v>6</v>
      </c>
      <c r="D3" s="12">
        <v>0</v>
      </c>
      <c r="E3" s="12">
        <v>1</v>
      </c>
      <c r="F3" s="12">
        <v>4</v>
      </c>
      <c r="G3" s="12">
        <v>0</v>
      </c>
      <c r="H3" s="12">
        <v>0</v>
      </c>
      <c r="I3" s="12">
        <v>1</v>
      </c>
      <c r="J3" s="12">
        <v>0</v>
      </c>
    </row>
    <row r="4" spans="1:10" ht="16.5" x14ac:dyDescent="0.25">
      <c r="A4" s="12" t="s">
        <v>167</v>
      </c>
      <c r="B4" s="12">
        <v>8</v>
      </c>
      <c r="C4" s="12">
        <v>6</v>
      </c>
      <c r="D4" s="12">
        <v>3</v>
      </c>
      <c r="E4" s="12">
        <v>2</v>
      </c>
      <c r="F4" s="12">
        <v>1</v>
      </c>
      <c r="G4" s="12">
        <v>0</v>
      </c>
      <c r="H4" s="12">
        <v>0</v>
      </c>
      <c r="I4" s="12">
        <v>0</v>
      </c>
      <c r="J4" s="12">
        <v>0</v>
      </c>
    </row>
    <row r="5" spans="1:10" ht="16.5" x14ac:dyDescent="0.25">
      <c r="A5" s="12" t="s">
        <v>168</v>
      </c>
      <c r="B5" s="12">
        <v>6</v>
      </c>
      <c r="C5" s="12">
        <v>5</v>
      </c>
      <c r="D5" s="12">
        <v>1</v>
      </c>
      <c r="E5" s="12">
        <v>1</v>
      </c>
      <c r="F5" s="12">
        <v>2</v>
      </c>
      <c r="G5" s="12">
        <v>0</v>
      </c>
      <c r="H5" s="12">
        <v>0</v>
      </c>
      <c r="I5" s="12">
        <v>1</v>
      </c>
      <c r="J5" s="12">
        <v>0</v>
      </c>
    </row>
    <row r="6" spans="1:10" ht="16.5" x14ac:dyDescent="0.25">
      <c r="A6" s="12" t="s">
        <v>169</v>
      </c>
      <c r="B6" s="12">
        <v>5</v>
      </c>
      <c r="C6" s="12">
        <v>14</v>
      </c>
      <c r="D6" s="12">
        <v>3</v>
      </c>
      <c r="E6" s="12">
        <v>7</v>
      </c>
      <c r="F6" s="12">
        <v>2</v>
      </c>
      <c r="G6" s="12">
        <v>0</v>
      </c>
      <c r="H6" s="12">
        <v>1</v>
      </c>
      <c r="I6" s="12">
        <v>1</v>
      </c>
      <c r="J6" s="12">
        <v>0</v>
      </c>
    </row>
    <row r="7" spans="1:10" ht="16.5" x14ac:dyDescent="0.25">
      <c r="A7" s="12" t="s">
        <v>170</v>
      </c>
      <c r="B7" s="12">
        <v>3</v>
      </c>
      <c r="C7" s="12">
        <v>3</v>
      </c>
      <c r="D7" s="12">
        <v>2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</row>
    <row r="8" spans="1:10" ht="16.5" x14ac:dyDescent="0.25">
      <c r="A8" s="12" t="s">
        <v>171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</row>
    <row r="9" spans="1:10" ht="16.5" x14ac:dyDescent="0.25">
      <c r="A9" s="12" t="s">
        <v>172</v>
      </c>
      <c r="B9" s="12">
        <v>17</v>
      </c>
      <c r="C9" s="12">
        <v>19</v>
      </c>
      <c r="D9" s="12">
        <v>0</v>
      </c>
      <c r="E9" s="12">
        <v>0</v>
      </c>
      <c r="F9" s="12">
        <v>6</v>
      </c>
      <c r="G9" s="12">
        <v>0</v>
      </c>
      <c r="H9" s="12">
        <v>12</v>
      </c>
      <c r="I9" s="12">
        <v>1</v>
      </c>
      <c r="J9" s="12">
        <v>0</v>
      </c>
    </row>
    <row r="10" spans="1:10" ht="16.5" x14ac:dyDescent="0.25">
      <c r="A10" s="12" t="s">
        <v>173</v>
      </c>
      <c r="B10" s="12">
        <v>9</v>
      </c>
      <c r="C10" s="12">
        <v>10</v>
      </c>
      <c r="D10" s="12">
        <v>4</v>
      </c>
      <c r="E10" s="12">
        <v>0</v>
      </c>
      <c r="F10" s="12">
        <v>2</v>
      </c>
      <c r="G10" s="12">
        <v>0</v>
      </c>
      <c r="H10" s="12">
        <v>0</v>
      </c>
      <c r="I10" s="12">
        <v>4</v>
      </c>
      <c r="J10" s="12">
        <v>0</v>
      </c>
    </row>
    <row r="11" spans="1:10" ht="16.5" x14ac:dyDescent="0.25">
      <c r="A11" s="12" t="s">
        <v>174</v>
      </c>
      <c r="B11" s="12">
        <v>22</v>
      </c>
      <c r="C11" s="12">
        <v>9</v>
      </c>
      <c r="D11" s="12">
        <v>1</v>
      </c>
      <c r="E11" s="12">
        <v>2</v>
      </c>
      <c r="F11" s="12">
        <v>5</v>
      </c>
      <c r="G11" s="12">
        <v>0</v>
      </c>
      <c r="H11" s="12">
        <v>1</v>
      </c>
      <c r="I11" s="12">
        <v>0</v>
      </c>
      <c r="J11" s="12">
        <v>0</v>
      </c>
    </row>
    <row r="12" spans="1:10" ht="16.5" x14ac:dyDescent="0.25">
      <c r="A12" s="12" t="s">
        <v>175</v>
      </c>
      <c r="B12" s="12">
        <v>13</v>
      </c>
      <c r="C12" s="12">
        <v>16</v>
      </c>
      <c r="D12" s="12">
        <v>1</v>
      </c>
      <c r="E12" s="12">
        <v>1</v>
      </c>
      <c r="F12" s="12">
        <v>5</v>
      </c>
      <c r="G12" s="12">
        <v>0</v>
      </c>
      <c r="H12" s="12">
        <v>0</v>
      </c>
      <c r="I12" s="12">
        <v>9</v>
      </c>
      <c r="J12" s="12">
        <v>0</v>
      </c>
    </row>
    <row r="13" spans="1:10" ht="16.5" x14ac:dyDescent="0.25">
      <c r="A13" s="12" t="s">
        <v>176</v>
      </c>
      <c r="B13" s="12">
        <v>5</v>
      </c>
      <c r="C13" s="12">
        <v>18</v>
      </c>
      <c r="D13" s="12">
        <v>3</v>
      </c>
      <c r="E13" s="12">
        <v>0</v>
      </c>
      <c r="F13" s="12">
        <v>14</v>
      </c>
      <c r="G13" s="12">
        <v>0</v>
      </c>
      <c r="H13" s="12">
        <v>0</v>
      </c>
      <c r="I13" s="12">
        <v>1</v>
      </c>
      <c r="J13" s="12">
        <v>0</v>
      </c>
    </row>
    <row r="14" spans="1:10" ht="16.5" x14ac:dyDescent="0.25">
      <c r="A14" s="12" t="s">
        <v>177</v>
      </c>
      <c r="B14" s="12">
        <v>12</v>
      </c>
      <c r="C14" s="12">
        <v>6</v>
      </c>
      <c r="D14" s="12">
        <v>1</v>
      </c>
      <c r="E14" s="12">
        <v>1</v>
      </c>
      <c r="F14" s="12">
        <v>4</v>
      </c>
      <c r="G14" s="12">
        <v>0</v>
      </c>
      <c r="H14" s="12">
        <v>0</v>
      </c>
      <c r="I14" s="12">
        <v>0</v>
      </c>
      <c r="J14" s="12">
        <v>0</v>
      </c>
    </row>
    <row r="15" spans="1:10" ht="16.5" x14ac:dyDescent="0.25">
      <c r="A15" s="12" t="s">
        <v>178</v>
      </c>
      <c r="B15" s="12">
        <v>10</v>
      </c>
      <c r="C15" s="12">
        <v>9</v>
      </c>
      <c r="D15" s="12">
        <v>3</v>
      </c>
      <c r="E15" s="12">
        <v>2</v>
      </c>
      <c r="F15" s="12">
        <v>4</v>
      </c>
      <c r="G15" s="12">
        <v>0</v>
      </c>
      <c r="H15" s="12">
        <v>0</v>
      </c>
      <c r="I15" s="12">
        <v>0</v>
      </c>
      <c r="J15" s="12">
        <v>0</v>
      </c>
    </row>
    <row r="16" spans="1:10" ht="16.5" x14ac:dyDescent="0.25">
      <c r="A16" s="12" t="s">
        <v>179</v>
      </c>
      <c r="B16" s="12">
        <v>5</v>
      </c>
      <c r="C16" s="12">
        <v>5</v>
      </c>
      <c r="D16" s="12">
        <v>0</v>
      </c>
      <c r="E16" s="12">
        <v>1</v>
      </c>
      <c r="F16" s="12">
        <v>3</v>
      </c>
      <c r="G16" s="12">
        <v>0</v>
      </c>
      <c r="H16" s="12">
        <v>0</v>
      </c>
      <c r="I16" s="12">
        <v>1</v>
      </c>
      <c r="J16" s="12">
        <v>0</v>
      </c>
    </row>
    <row r="17" spans="1:10" ht="16.5" x14ac:dyDescent="0.25">
      <c r="A17" s="12" t="s">
        <v>180</v>
      </c>
      <c r="B17" s="12">
        <v>7</v>
      </c>
      <c r="C17" s="12">
        <v>5</v>
      </c>
      <c r="D17" s="12">
        <v>0</v>
      </c>
      <c r="E17" s="12">
        <v>0</v>
      </c>
      <c r="F17" s="12">
        <v>3</v>
      </c>
      <c r="G17" s="12">
        <v>0</v>
      </c>
      <c r="H17" s="12">
        <v>0</v>
      </c>
      <c r="I17" s="12">
        <v>2</v>
      </c>
      <c r="J17" s="12">
        <v>0</v>
      </c>
    </row>
    <row r="18" spans="1:10" ht="16.5" x14ac:dyDescent="0.25">
      <c r="A18" s="12" t="s">
        <v>181</v>
      </c>
      <c r="B18" s="12">
        <v>10</v>
      </c>
      <c r="C18" s="12">
        <v>4</v>
      </c>
      <c r="D18" s="12">
        <v>1</v>
      </c>
      <c r="E18" s="12">
        <v>1</v>
      </c>
      <c r="F18" s="12">
        <v>2</v>
      </c>
      <c r="G18" s="12">
        <v>0</v>
      </c>
      <c r="H18" s="12">
        <v>0</v>
      </c>
      <c r="I18" s="12">
        <v>0</v>
      </c>
      <c r="J18" s="12">
        <v>0</v>
      </c>
    </row>
    <row r="19" spans="1:10" ht="16.5" x14ac:dyDescent="0.25">
      <c r="A19" s="12" t="s">
        <v>182</v>
      </c>
      <c r="B19" s="12">
        <v>13</v>
      </c>
      <c r="C19" s="12">
        <v>12</v>
      </c>
      <c r="D19" s="12">
        <v>4</v>
      </c>
      <c r="E19" s="12">
        <v>3</v>
      </c>
      <c r="F19" s="12">
        <v>1</v>
      </c>
      <c r="G19" s="12">
        <v>0</v>
      </c>
      <c r="H19" s="12">
        <v>1</v>
      </c>
      <c r="I19" s="12">
        <v>1</v>
      </c>
      <c r="J19" s="12">
        <v>2</v>
      </c>
    </row>
    <row r="20" spans="1:10" ht="16.5" x14ac:dyDescent="0.25">
      <c r="A20" s="12" t="s">
        <v>183</v>
      </c>
      <c r="B20" s="12">
        <v>14</v>
      </c>
      <c r="C20" s="12">
        <v>11</v>
      </c>
      <c r="D20" s="12">
        <v>3</v>
      </c>
      <c r="E20" s="12">
        <v>2</v>
      </c>
      <c r="F20" s="12">
        <v>2</v>
      </c>
      <c r="G20" s="12">
        <v>0</v>
      </c>
      <c r="H20" s="12">
        <v>1</v>
      </c>
      <c r="I20" s="12">
        <v>3</v>
      </c>
      <c r="J20" s="12">
        <v>0</v>
      </c>
    </row>
    <row r="21" spans="1:10" ht="16.5" x14ac:dyDescent="0.25">
      <c r="A21" s="12" t="s">
        <v>184</v>
      </c>
      <c r="B21" s="12">
        <v>10</v>
      </c>
      <c r="C21" s="12">
        <v>10</v>
      </c>
      <c r="D21" s="12">
        <v>6</v>
      </c>
      <c r="E21" s="12">
        <v>1</v>
      </c>
      <c r="F21" s="12">
        <v>2</v>
      </c>
      <c r="G21" s="12">
        <v>0</v>
      </c>
      <c r="H21" s="12">
        <v>0</v>
      </c>
      <c r="I21" s="12">
        <v>1</v>
      </c>
      <c r="J21" s="12">
        <v>0</v>
      </c>
    </row>
    <row r="22" spans="1:10" ht="16.5" x14ac:dyDescent="0.25">
      <c r="A22" s="12" t="s">
        <v>185</v>
      </c>
      <c r="B22" s="12">
        <v>4</v>
      </c>
      <c r="C22" s="12">
        <v>6</v>
      </c>
      <c r="D22" s="12">
        <v>3</v>
      </c>
      <c r="E22" s="12">
        <v>1</v>
      </c>
      <c r="F22" s="12">
        <v>1</v>
      </c>
      <c r="G22" s="12">
        <v>0</v>
      </c>
      <c r="H22" s="12">
        <v>0</v>
      </c>
      <c r="I22" s="12">
        <v>1</v>
      </c>
      <c r="J22" s="12">
        <v>0</v>
      </c>
    </row>
    <row r="23" spans="1:10" ht="16.5" x14ac:dyDescent="0.25">
      <c r="A23" s="12" t="s">
        <v>186</v>
      </c>
      <c r="B23" s="12">
        <v>12</v>
      </c>
      <c r="C23" s="12">
        <v>14</v>
      </c>
      <c r="D23" s="12">
        <v>4</v>
      </c>
      <c r="E23" s="12">
        <v>0</v>
      </c>
      <c r="F23" s="12">
        <v>5</v>
      </c>
      <c r="G23" s="12">
        <v>0</v>
      </c>
      <c r="H23" s="12">
        <v>2</v>
      </c>
      <c r="I23" s="12">
        <v>3</v>
      </c>
      <c r="J23" s="12">
        <v>0</v>
      </c>
    </row>
    <row r="24" spans="1:10" ht="16.5" x14ac:dyDescent="0.25">
      <c r="A24" s="12" t="s">
        <v>187</v>
      </c>
      <c r="B24" s="12">
        <v>8</v>
      </c>
      <c r="C24" s="12">
        <v>8</v>
      </c>
      <c r="D24" s="12">
        <v>2</v>
      </c>
      <c r="E24" s="12">
        <v>0</v>
      </c>
      <c r="F24" s="12">
        <v>3</v>
      </c>
      <c r="G24" s="12">
        <v>0</v>
      </c>
      <c r="H24" s="12">
        <v>1</v>
      </c>
      <c r="I24" s="12">
        <v>2</v>
      </c>
      <c r="J24" s="12">
        <v>0</v>
      </c>
    </row>
    <row r="30" spans="1:10" ht="18.75" x14ac:dyDescent="0.3">
      <c r="A30" s="2" t="s">
        <v>0</v>
      </c>
      <c r="B30" s="1">
        <f>AVERAGE(B2:B29)</f>
        <v>9.2173913043478262</v>
      </c>
      <c r="C30" s="1">
        <f t="shared" ref="C30:I30" si="0">AVERAGE(C2:C29)</f>
        <v>9.0434782608695645</v>
      </c>
      <c r="D30" s="1">
        <f t="shared" si="0"/>
        <v>2.2173913043478262</v>
      </c>
      <c r="E30" s="1">
        <f t="shared" si="0"/>
        <v>1.173913043478261</v>
      </c>
      <c r="F30" s="1">
        <f t="shared" si="0"/>
        <v>3.3043478260869565</v>
      </c>
      <c r="G30" s="1">
        <f t="shared" si="0"/>
        <v>0</v>
      </c>
      <c r="H30" s="1">
        <f t="shared" si="0"/>
        <v>0.82608695652173914</v>
      </c>
      <c r="I30" s="1">
        <f t="shared" si="0"/>
        <v>1.4347826086956521</v>
      </c>
      <c r="J30" s="1">
        <f t="shared" ref="J30" si="1">AVERAGE(J2:J29)</f>
        <v>8.6956521739130432E-2</v>
      </c>
    </row>
    <row r="31" spans="1:10" ht="18.75" x14ac:dyDescent="0.3">
      <c r="A31" s="3" t="s">
        <v>23</v>
      </c>
      <c r="B31" s="4">
        <f>SUM(B2:B29)</f>
        <v>212</v>
      </c>
      <c r="C31" s="4">
        <f t="shared" ref="C31:I31" si="2">SUM(C2:C29)</f>
        <v>208</v>
      </c>
      <c r="D31" s="4">
        <f t="shared" si="2"/>
        <v>51</v>
      </c>
      <c r="E31" s="4">
        <f t="shared" si="2"/>
        <v>27</v>
      </c>
      <c r="F31" s="4">
        <f t="shared" si="2"/>
        <v>76</v>
      </c>
      <c r="G31" s="4">
        <f t="shared" si="2"/>
        <v>0</v>
      </c>
      <c r="H31" s="4">
        <f t="shared" si="2"/>
        <v>19</v>
      </c>
      <c r="I31" s="4">
        <f t="shared" si="2"/>
        <v>33</v>
      </c>
      <c r="J31" s="4">
        <f t="shared" ref="J31" si="3">SUM(J2:J29)</f>
        <v>2</v>
      </c>
    </row>
    <row r="32" spans="1:10" ht="18.75" x14ac:dyDescent="0.3">
      <c r="A32" s="5" t="s">
        <v>26</v>
      </c>
      <c r="B32" s="9"/>
      <c r="C32" s="9"/>
      <c r="D32" s="79">
        <f>D31/C31</f>
        <v>0.24519230769230768</v>
      </c>
      <c r="E32" s="79">
        <f>E31/C31</f>
        <v>0.12980769230769232</v>
      </c>
      <c r="F32" s="79">
        <f>F31/C31</f>
        <v>0.36538461538461536</v>
      </c>
      <c r="G32" s="79">
        <f>G31/C31</f>
        <v>0</v>
      </c>
      <c r="H32" s="79">
        <f>H31/C31</f>
        <v>9.1346153846153841E-2</v>
      </c>
      <c r="I32" s="79">
        <f>I31/C31</f>
        <v>0.15865384615384615</v>
      </c>
      <c r="J32" s="79">
        <f>J31/C31</f>
        <v>9.6153846153846159E-3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34D6-1BCE-4980-B888-CB6EE0DD508B}">
  <sheetPr codeName="Planilha2"/>
  <dimension ref="A1:J32"/>
  <sheetViews>
    <sheetView workbookViewId="0">
      <pane ySplit="1" topLeftCell="A2" activePane="bottomLeft" state="frozen"/>
      <selection pane="bottomLeft" activeCell="A30" sqref="A30:J32"/>
    </sheetView>
  </sheetViews>
  <sheetFormatPr defaultColWidth="9.140625" defaultRowHeight="15" x14ac:dyDescent="0.25"/>
  <cols>
    <col min="1" max="1" width="39.42578125" style="23" customWidth="1"/>
    <col min="2" max="2" width="16" style="23" customWidth="1"/>
    <col min="3" max="3" width="15.85546875" style="23" customWidth="1"/>
    <col min="4" max="4" width="16.140625" style="23" customWidth="1"/>
    <col min="5" max="6" width="16" style="23" customWidth="1"/>
    <col min="7" max="7" width="20.140625" style="23" customWidth="1"/>
    <col min="8" max="10" width="15.85546875" style="23" customWidth="1"/>
    <col min="11" max="16384" width="9.140625" style="23"/>
  </cols>
  <sheetData>
    <row r="1" spans="1:10" s="24" customFormat="1" ht="22.5" customHeight="1" x14ac:dyDescent="0.25">
      <c r="A1" s="26" t="s">
        <v>28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  <c r="J1" s="26" t="s">
        <v>164</v>
      </c>
    </row>
    <row r="2" spans="1:10" ht="16.5" x14ac:dyDescent="0.25">
      <c r="A2" s="12" t="s">
        <v>188</v>
      </c>
      <c r="B2" s="12">
        <v>9</v>
      </c>
      <c r="C2" s="12">
        <v>6</v>
      </c>
      <c r="D2" s="12">
        <v>1</v>
      </c>
      <c r="E2" s="12">
        <v>1</v>
      </c>
      <c r="F2" s="12">
        <v>2</v>
      </c>
      <c r="G2" s="12">
        <v>0</v>
      </c>
      <c r="H2" s="12">
        <v>0</v>
      </c>
      <c r="I2" s="12">
        <v>2</v>
      </c>
      <c r="J2" s="12">
        <v>0</v>
      </c>
    </row>
    <row r="3" spans="1:10" ht="16.5" x14ac:dyDescent="0.25">
      <c r="A3" s="12" t="s">
        <v>189</v>
      </c>
      <c r="B3" s="12">
        <v>8</v>
      </c>
      <c r="C3" s="12">
        <v>34</v>
      </c>
      <c r="D3" s="12">
        <v>2</v>
      </c>
      <c r="E3" s="12">
        <v>2</v>
      </c>
      <c r="F3" s="12">
        <v>3</v>
      </c>
      <c r="G3" s="12">
        <v>0</v>
      </c>
      <c r="H3" s="12">
        <v>26</v>
      </c>
      <c r="I3" s="12">
        <v>1</v>
      </c>
      <c r="J3" s="12">
        <v>0</v>
      </c>
    </row>
    <row r="4" spans="1:10" ht="16.5" x14ac:dyDescent="0.25">
      <c r="A4" s="12" t="s">
        <v>190</v>
      </c>
      <c r="B4" s="12">
        <v>0</v>
      </c>
      <c r="C4" s="12">
        <v>1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</row>
    <row r="5" spans="1:10" ht="16.5" x14ac:dyDescent="0.25">
      <c r="A5" s="12" t="s">
        <v>191</v>
      </c>
      <c r="B5" s="12">
        <v>12</v>
      </c>
      <c r="C5" s="12">
        <v>5</v>
      </c>
      <c r="D5" s="12">
        <v>2</v>
      </c>
      <c r="E5" s="12">
        <v>0</v>
      </c>
      <c r="F5" s="12">
        <v>0</v>
      </c>
      <c r="G5" s="12">
        <v>0</v>
      </c>
      <c r="H5" s="12">
        <v>1</v>
      </c>
      <c r="I5" s="12">
        <v>2</v>
      </c>
      <c r="J5" s="12">
        <v>0</v>
      </c>
    </row>
    <row r="6" spans="1:10" ht="16.5" x14ac:dyDescent="0.25">
      <c r="A6" s="12" t="s">
        <v>192</v>
      </c>
      <c r="B6" s="12">
        <v>9</v>
      </c>
      <c r="C6" s="12">
        <v>8</v>
      </c>
      <c r="D6" s="12">
        <v>2</v>
      </c>
      <c r="E6" s="12">
        <v>0</v>
      </c>
      <c r="F6" s="12">
        <v>2</v>
      </c>
      <c r="G6" s="12">
        <v>0</v>
      </c>
      <c r="H6" s="12">
        <v>0</v>
      </c>
      <c r="I6" s="12">
        <v>4</v>
      </c>
      <c r="J6" s="12">
        <v>0</v>
      </c>
    </row>
    <row r="7" spans="1:10" ht="16.5" x14ac:dyDescent="0.25">
      <c r="A7" s="12" t="s">
        <v>193</v>
      </c>
      <c r="B7" s="12">
        <v>5</v>
      </c>
      <c r="C7" s="12">
        <v>3</v>
      </c>
      <c r="D7" s="12">
        <v>1</v>
      </c>
      <c r="E7" s="12">
        <v>0</v>
      </c>
      <c r="F7" s="12">
        <v>1</v>
      </c>
      <c r="G7" s="12">
        <v>0</v>
      </c>
      <c r="H7" s="12">
        <v>1</v>
      </c>
      <c r="I7" s="12">
        <v>0</v>
      </c>
      <c r="J7" s="12">
        <v>0</v>
      </c>
    </row>
    <row r="8" spans="1:10" ht="16.5" x14ac:dyDescent="0.25">
      <c r="A8" s="12" t="s">
        <v>194</v>
      </c>
      <c r="B8" s="12">
        <v>23</v>
      </c>
      <c r="C8" s="12">
        <v>4</v>
      </c>
      <c r="D8" s="12">
        <v>0</v>
      </c>
      <c r="E8" s="12">
        <v>2</v>
      </c>
      <c r="F8" s="12">
        <v>0</v>
      </c>
      <c r="G8" s="12">
        <v>0</v>
      </c>
      <c r="H8" s="12">
        <v>1</v>
      </c>
      <c r="I8" s="12">
        <v>1</v>
      </c>
      <c r="J8" s="12">
        <v>0</v>
      </c>
    </row>
    <row r="9" spans="1:10" ht="16.5" x14ac:dyDescent="0.25">
      <c r="A9" s="12" t="s">
        <v>195</v>
      </c>
      <c r="B9" s="12">
        <v>9</v>
      </c>
      <c r="C9" s="12">
        <v>10</v>
      </c>
      <c r="D9" s="12">
        <v>1</v>
      </c>
      <c r="E9" s="12">
        <v>1</v>
      </c>
      <c r="F9" s="12">
        <v>5</v>
      </c>
      <c r="G9" s="12">
        <v>0</v>
      </c>
      <c r="H9" s="12">
        <v>0</v>
      </c>
      <c r="I9" s="12">
        <v>3</v>
      </c>
      <c r="J9" s="12">
        <v>0</v>
      </c>
    </row>
    <row r="10" spans="1:10" ht="16.5" x14ac:dyDescent="0.25">
      <c r="A10" s="12" t="s">
        <v>196</v>
      </c>
      <c r="B10" s="12">
        <v>6</v>
      </c>
      <c r="C10" s="12">
        <v>14</v>
      </c>
      <c r="D10" s="12">
        <v>0</v>
      </c>
      <c r="E10" s="12">
        <v>0</v>
      </c>
      <c r="F10" s="12">
        <v>1</v>
      </c>
      <c r="G10" s="12">
        <v>0</v>
      </c>
      <c r="H10" s="12">
        <v>2</v>
      </c>
      <c r="I10" s="12">
        <v>11</v>
      </c>
      <c r="J10" s="12">
        <v>0</v>
      </c>
    </row>
    <row r="11" spans="1:10" ht="16.5" x14ac:dyDescent="0.25">
      <c r="A11" s="12" t="s">
        <v>197</v>
      </c>
      <c r="B11" s="12">
        <v>8</v>
      </c>
      <c r="C11" s="12">
        <v>16</v>
      </c>
      <c r="D11" s="12">
        <v>1</v>
      </c>
      <c r="E11" s="12">
        <v>1</v>
      </c>
      <c r="F11" s="12">
        <v>13</v>
      </c>
      <c r="G11" s="12">
        <v>0</v>
      </c>
      <c r="H11" s="12">
        <v>0</v>
      </c>
      <c r="I11" s="12">
        <v>1</v>
      </c>
      <c r="J11" s="12">
        <v>0</v>
      </c>
    </row>
    <row r="12" spans="1:10" ht="16.5" x14ac:dyDescent="0.25">
      <c r="A12" s="12" t="s">
        <v>198</v>
      </c>
      <c r="B12" s="12">
        <v>12</v>
      </c>
      <c r="C12" s="12">
        <v>9</v>
      </c>
      <c r="D12" s="12">
        <v>3</v>
      </c>
      <c r="E12" s="12">
        <v>0</v>
      </c>
      <c r="F12" s="12">
        <v>5</v>
      </c>
      <c r="G12" s="12">
        <v>0</v>
      </c>
      <c r="H12" s="12">
        <v>0</v>
      </c>
      <c r="I12" s="12">
        <v>1</v>
      </c>
      <c r="J12" s="12">
        <v>0</v>
      </c>
    </row>
    <row r="13" spans="1:10" ht="16.5" x14ac:dyDescent="0.25">
      <c r="A13" s="12" t="s">
        <v>199</v>
      </c>
      <c r="B13" s="12">
        <v>24</v>
      </c>
      <c r="C13" s="12">
        <v>19</v>
      </c>
      <c r="D13" s="12">
        <v>2</v>
      </c>
      <c r="E13" s="12">
        <v>5</v>
      </c>
      <c r="F13" s="12">
        <v>10</v>
      </c>
      <c r="G13" s="12">
        <v>0</v>
      </c>
      <c r="H13" s="12">
        <v>2</v>
      </c>
      <c r="I13" s="12">
        <v>0</v>
      </c>
      <c r="J13" s="12">
        <v>0</v>
      </c>
    </row>
    <row r="14" spans="1:10" ht="16.5" x14ac:dyDescent="0.25">
      <c r="A14" s="12" t="s">
        <v>200</v>
      </c>
      <c r="B14" s="12">
        <v>3</v>
      </c>
      <c r="C14" s="12">
        <v>15</v>
      </c>
      <c r="D14" s="12">
        <v>1</v>
      </c>
      <c r="E14" s="12">
        <v>10</v>
      </c>
      <c r="F14" s="12">
        <v>2</v>
      </c>
      <c r="G14" s="12">
        <v>0</v>
      </c>
      <c r="H14" s="12">
        <v>0</v>
      </c>
      <c r="I14" s="12">
        <v>2</v>
      </c>
      <c r="J14" s="12">
        <v>0</v>
      </c>
    </row>
    <row r="15" spans="1:10" ht="16.5" x14ac:dyDescent="0.25">
      <c r="A15" s="12" t="s">
        <v>201</v>
      </c>
      <c r="B15" s="12">
        <v>9</v>
      </c>
      <c r="C15" s="12">
        <v>6</v>
      </c>
      <c r="D15" s="12">
        <v>0</v>
      </c>
      <c r="E15" s="12">
        <v>0</v>
      </c>
      <c r="F15" s="12">
        <v>4</v>
      </c>
      <c r="G15" s="12">
        <v>0</v>
      </c>
      <c r="H15" s="12">
        <v>1</v>
      </c>
      <c r="I15" s="12">
        <v>1</v>
      </c>
      <c r="J15" s="12">
        <v>0</v>
      </c>
    </row>
    <row r="16" spans="1:10" ht="16.5" x14ac:dyDescent="0.25">
      <c r="A16" s="12" t="s">
        <v>202</v>
      </c>
      <c r="B16" s="12">
        <v>5</v>
      </c>
      <c r="C16" s="12">
        <v>6</v>
      </c>
      <c r="D16" s="12">
        <v>2</v>
      </c>
      <c r="E16" s="12">
        <v>2</v>
      </c>
      <c r="F16" s="12">
        <v>2</v>
      </c>
      <c r="G16" s="12">
        <v>0</v>
      </c>
      <c r="H16" s="12">
        <v>0</v>
      </c>
      <c r="I16" s="12">
        <v>0</v>
      </c>
      <c r="J16" s="12">
        <v>0</v>
      </c>
    </row>
    <row r="17" spans="1:10" ht="16.5" x14ac:dyDescent="0.25">
      <c r="A17" s="12" t="s">
        <v>203</v>
      </c>
      <c r="B17" s="12">
        <v>4</v>
      </c>
      <c r="C17" s="12">
        <v>2</v>
      </c>
      <c r="D17" s="12">
        <v>0</v>
      </c>
      <c r="E17" s="12">
        <v>0</v>
      </c>
      <c r="F17" s="12">
        <v>1</v>
      </c>
      <c r="G17" s="12">
        <v>0</v>
      </c>
      <c r="H17" s="12">
        <v>0</v>
      </c>
      <c r="I17" s="12">
        <v>1</v>
      </c>
      <c r="J17" s="12">
        <v>0</v>
      </c>
    </row>
    <row r="18" spans="1:10" ht="16.5" x14ac:dyDescent="0.25">
      <c r="A18" s="12" t="s">
        <v>204</v>
      </c>
      <c r="B18" s="12">
        <v>11</v>
      </c>
      <c r="C18" s="12">
        <v>6</v>
      </c>
      <c r="D18" s="12">
        <v>1</v>
      </c>
      <c r="E18" s="12">
        <v>0</v>
      </c>
      <c r="F18" s="12">
        <v>4</v>
      </c>
      <c r="G18" s="12">
        <v>0</v>
      </c>
      <c r="H18" s="12">
        <v>1</v>
      </c>
      <c r="I18" s="12">
        <v>0</v>
      </c>
      <c r="J18" s="12">
        <v>0</v>
      </c>
    </row>
    <row r="19" spans="1:10" ht="16.5" x14ac:dyDescent="0.25">
      <c r="A19" s="12" t="s">
        <v>205</v>
      </c>
      <c r="B19" s="12">
        <v>21</v>
      </c>
      <c r="C19" s="12">
        <v>7</v>
      </c>
      <c r="D19" s="12">
        <v>1</v>
      </c>
      <c r="E19" s="12">
        <v>0</v>
      </c>
      <c r="F19" s="12">
        <v>1</v>
      </c>
      <c r="G19" s="12">
        <v>0</v>
      </c>
      <c r="H19" s="12">
        <v>5</v>
      </c>
      <c r="I19" s="12">
        <v>0</v>
      </c>
      <c r="J19" s="12">
        <v>0</v>
      </c>
    </row>
    <row r="20" spans="1:10" ht="16.5" x14ac:dyDescent="0.25">
      <c r="A20" s="12" t="s">
        <v>206</v>
      </c>
      <c r="B20" s="12">
        <v>0</v>
      </c>
      <c r="C20" s="12">
        <v>3</v>
      </c>
      <c r="D20" s="12">
        <v>3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</row>
    <row r="21" spans="1:10" ht="16.5" x14ac:dyDescent="0.25">
      <c r="A21" s="12" t="s">
        <v>207</v>
      </c>
      <c r="B21" s="12">
        <v>12</v>
      </c>
      <c r="C21" s="12">
        <v>19</v>
      </c>
      <c r="D21" s="12">
        <v>5</v>
      </c>
      <c r="E21" s="12">
        <v>1</v>
      </c>
      <c r="F21" s="12">
        <v>1</v>
      </c>
      <c r="G21" s="12">
        <v>0</v>
      </c>
      <c r="H21" s="12">
        <v>2</v>
      </c>
      <c r="I21" s="12">
        <v>10</v>
      </c>
      <c r="J21" s="12">
        <v>0</v>
      </c>
    </row>
    <row r="22" spans="1:10" ht="16.5" x14ac:dyDescent="0.25">
      <c r="A22" s="12" t="s">
        <v>208</v>
      </c>
      <c r="B22" s="12">
        <v>9</v>
      </c>
      <c r="C22" s="12">
        <v>11</v>
      </c>
      <c r="D22" s="12">
        <v>0</v>
      </c>
      <c r="E22" s="12">
        <v>2</v>
      </c>
      <c r="F22" s="12">
        <v>9</v>
      </c>
      <c r="G22" s="12">
        <v>0</v>
      </c>
      <c r="H22" s="12">
        <v>0</v>
      </c>
      <c r="I22" s="12">
        <v>0</v>
      </c>
      <c r="J22" s="12">
        <v>0</v>
      </c>
    </row>
    <row r="23" spans="1:10" ht="16.5" x14ac:dyDescent="0.25">
      <c r="A23" s="12" t="s">
        <v>209</v>
      </c>
      <c r="B23" s="12">
        <v>8</v>
      </c>
      <c r="C23" s="12">
        <v>10</v>
      </c>
      <c r="D23" s="12">
        <v>6</v>
      </c>
      <c r="E23" s="12">
        <v>0</v>
      </c>
      <c r="F23" s="12">
        <v>3</v>
      </c>
      <c r="G23" s="12">
        <v>0</v>
      </c>
      <c r="H23" s="12">
        <v>0</v>
      </c>
      <c r="I23" s="12">
        <v>1</v>
      </c>
      <c r="J23" s="12">
        <v>0</v>
      </c>
    </row>
    <row r="24" spans="1:10" ht="16.5" x14ac:dyDescent="0.25">
      <c r="A24" s="12" t="s">
        <v>210</v>
      </c>
      <c r="B24" s="12">
        <v>10</v>
      </c>
      <c r="C24" s="12">
        <v>4</v>
      </c>
      <c r="D24" s="12">
        <v>0</v>
      </c>
      <c r="E24" s="12">
        <v>0</v>
      </c>
      <c r="F24" s="12">
        <v>4</v>
      </c>
      <c r="G24" s="12">
        <v>0</v>
      </c>
      <c r="H24" s="12">
        <v>0</v>
      </c>
      <c r="I24" s="12">
        <v>0</v>
      </c>
      <c r="J24" s="12">
        <v>0</v>
      </c>
    </row>
    <row r="25" spans="1:10" ht="16.5" x14ac:dyDescent="0.25">
      <c r="A25" s="12" t="s">
        <v>211</v>
      </c>
      <c r="B25" s="12">
        <v>5</v>
      </c>
      <c r="C25" s="12">
        <v>10</v>
      </c>
      <c r="D25" s="12">
        <v>1</v>
      </c>
      <c r="E25" s="12">
        <v>1</v>
      </c>
      <c r="F25" s="12">
        <v>2</v>
      </c>
      <c r="G25" s="12">
        <v>0</v>
      </c>
      <c r="H25" s="12">
        <v>6</v>
      </c>
      <c r="I25" s="12">
        <v>0</v>
      </c>
      <c r="J25" s="12">
        <v>0</v>
      </c>
    </row>
    <row r="30" spans="1:10" ht="18.75" x14ac:dyDescent="0.3">
      <c r="A30" s="2" t="s">
        <v>0</v>
      </c>
      <c r="B30" s="1">
        <f>AVERAGE(B2:B29)</f>
        <v>9.25</v>
      </c>
      <c r="C30" s="1">
        <f t="shared" ref="C30:J30" si="0">AVERAGE(C2:C29)</f>
        <v>9.5</v>
      </c>
      <c r="D30" s="1">
        <f t="shared" si="0"/>
        <v>1.4583333333333333</v>
      </c>
      <c r="E30" s="1">
        <f t="shared" si="0"/>
        <v>1.2083333333333333</v>
      </c>
      <c r="F30" s="1">
        <f t="shared" si="0"/>
        <v>3.125</v>
      </c>
      <c r="G30" s="1">
        <f t="shared" si="0"/>
        <v>0</v>
      </c>
      <c r="H30" s="1">
        <f t="shared" si="0"/>
        <v>2</v>
      </c>
      <c r="I30" s="1">
        <f t="shared" si="0"/>
        <v>1.7083333333333333</v>
      </c>
      <c r="J30" s="1">
        <f t="shared" si="0"/>
        <v>0</v>
      </c>
    </row>
    <row r="31" spans="1:10" ht="18.75" x14ac:dyDescent="0.3">
      <c r="A31" s="3" t="s">
        <v>23</v>
      </c>
      <c r="B31" s="4">
        <f>SUM(B2:B29)</f>
        <v>222</v>
      </c>
      <c r="C31" s="4">
        <f t="shared" ref="C31:J31" si="1">SUM(C2:C29)</f>
        <v>228</v>
      </c>
      <c r="D31" s="4">
        <f t="shared" si="1"/>
        <v>35</v>
      </c>
      <c r="E31" s="4">
        <f t="shared" si="1"/>
        <v>29</v>
      </c>
      <c r="F31" s="4">
        <f t="shared" si="1"/>
        <v>75</v>
      </c>
      <c r="G31" s="4">
        <f t="shared" si="1"/>
        <v>0</v>
      </c>
      <c r="H31" s="4">
        <f t="shared" si="1"/>
        <v>48</v>
      </c>
      <c r="I31" s="4">
        <f t="shared" si="1"/>
        <v>41</v>
      </c>
      <c r="J31" s="4">
        <f t="shared" si="1"/>
        <v>0</v>
      </c>
    </row>
    <row r="32" spans="1:10" ht="18.75" x14ac:dyDescent="0.3">
      <c r="A32" s="5" t="s">
        <v>26</v>
      </c>
      <c r="B32" s="9"/>
      <c r="C32" s="9"/>
      <c r="D32" s="79">
        <f>D31/C31</f>
        <v>0.15350877192982457</v>
      </c>
      <c r="E32" s="79">
        <f>E31/C31</f>
        <v>0.12719298245614036</v>
      </c>
      <c r="F32" s="79">
        <f>F31/C31</f>
        <v>0.32894736842105265</v>
      </c>
      <c r="G32" s="79">
        <f>G31/C31</f>
        <v>0</v>
      </c>
      <c r="H32" s="79">
        <f>H31/C31</f>
        <v>0.21052631578947367</v>
      </c>
      <c r="I32" s="79">
        <f>I31/C31</f>
        <v>0.17982456140350878</v>
      </c>
      <c r="J32" s="79">
        <f>J31/C31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1331-BCDA-459A-8998-1BCFDA5BFF8B}">
  <dimension ref="A1:J32"/>
  <sheetViews>
    <sheetView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43.42578125" style="9" customWidth="1"/>
    <col min="2" max="2" width="18.7109375" style="9" customWidth="1"/>
    <col min="3" max="3" width="17.5703125" style="9" customWidth="1"/>
    <col min="4" max="4" width="14.42578125" style="9" customWidth="1"/>
    <col min="5" max="5" width="15.85546875" style="9" customWidth="1"/>
    <col min="6" max="6" width="17" style="9" customWidth="1"/>
    <col min="7" max="7" width="16.7109375" style="9" customWidth="1"/>
    <col min="8" max="8" width="19.85546875" style="9" customWidth="1"/>
    <col min="9" max="9" width="18" style="9" customWidth="1"/>
    <col min="10" max="10" width="19.42578125" style="9" customWidth="1"/>
    <col min="11" max="16384" width="9.140625" style="9"/>
  </cols>
  <sheetData>
    <row r="1" spans="1:10" ht="16.5" x14ac:dyDescent="0.25">
      <c r="A1" s="26" t="s">
        <v>28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  <c r="J1" s="26" t="s">
        <v>164</v>
      </c>
    </row>
    <row r="2" spans="1:10" ht="16.5" x14ac:dyDescent="0.25">
      <c r="A2" s="12" t="s">
        <v>212</v>
      </c>
      <c r="B2" s="12">
        <v>5</v>
      </c>
      <c r="C2" s="12">
        <v>5</v>
      </c>
      <c r="D2" s="12">
        <v>1</v>
      </c>
      <c r="E2" s="12">
        <v>2</v>
      </c>
      <c r="F2" s="12"/>
      <c r="G2" s="12">
        <v>0</v>
      </c>
      <c r="H2" s="12">
        <v>0</v>
      </c>
      <c r="I2" s="12">
        <v>2</v>
      </c>
      <c r="J2" s="12">
        <v>0</v>
      </c>
    </row>
    <row r="3" spans="1:10" ht="16.5" x14ac:dyDescent="0.25">
      <c r="A3" s="12" t="s">
        <v>213</v>
      </c>
      <c r="B3" s="12">
        <v>7</v>
      </c>
      <c r="C3" s="12">
        <v>2</v>
      </c>
      <c r="D3" s="12">
        <v>0</v>
      </c>
      <c r="E3" s="12">
        <v>0</v>
      </c>
      <c r="F3" s="12"/>
      <c r="G3" s="12">
        <v>0</v>
      </c>
      <c r="H3" s="12">
        <v>0</v>
      </c>
      <c r="I3" s="12">
        <v>2</v>
      </c>
      <c r="J3" s="12">
        <v>0</v>
      </c>
    </row>
    <row r="4" spans="1:10" ht="16.5" x14ac:dyDescent="0.25">
      <c r="A4" s="12" t="s">
        <v>214</v>
      </c>
      <c r="B4" s="12">
        <v>13</v>
      </c>
      <c r="C4" s="12">
        <v>5</v>
      </c>
      <c r="D4" s="12">
        <v>0</v>
      </c>
      <c r="E4" s="12">
        <v>1</v>
      </c>
      <c r="F4" s="12"/>
      <c r="G4" s="12">
        <v>0</v>
      </c>
      <c r="H4" s="12">
        <v>1</v>
      </c>
      <c r="I4" s="12">
        <v>3</v>
      </c>
      <c r="J4" s="12">
        <v>0</v>
      </c>
    </row>
    <row r="5" spans="1:10" ht="16.5" x14ac:dyDescent="0.25">
      <c r="A5" s="12" t="s">
        <v>215</v>
      </c>
      <c r="B5" s="12">
        <v>8</v>
      </c>
      <c r="C5" s="12">
        <v>11</v>
      </c>
      <c r="D5" s="12">
        <v>0</v>
      </c>
      <c r="E5" s="12">
        <v>2</v>
      </c>
      <c r="F5" s="12"/>
      <c r="G5" s="12">
        <v>0</v>
      </c>
      <c r="H5" s="12">
        <v>1</v>
      </c>
      <c r="I5" s="12">
        <v>8</v>
      </c>
      <c r="J5" s="12">
        <v>0</v>
      </c>
    </row>
    <row r="6" spans="1:10" ht="16.5" x14ac:dyDescent="0.25">
      <c r="A6" s="12" t="s">
        <v>216</v>
      </c>
      <c r="B6" s="12">
        <v>10</v>
      </c>
      <c r="C6" s="12">
        <v>13</v>
      </c>
      <c r="D6" s="12">
        <v>4</v>
      </c>
      <c r="E6" s="12">
        <v>3</v>
      </c>
      <c r="F6" s="12"/>
      <c r="G6" s="12">
        <v>0</v>
      </c>
      <c r="H6" s="12">
        <v>0</v>
      </c>
      <c r="I6" s="12">
        <v>6</v>
      </c>
      <c r="J6" s="12">
        <v>0</v>
      </c>
    </row>
    <row r="7" spans="1:10" ht="16.5" x14ac:dyDescent="0.25">
      <c r="A7" s="12" t="s">
        <v>217</v>
      </c>
      <c r="B7" s="12">
        <v>0</v>
      </c>
      <c r="C7" s="12">
        <v>1</v>
      </c>
      <c r="D7" s="12">
        <v>1</v>
      </c>
      <c r="E7" s="12">
        <v>0</v>
      </c>
      <c r="F7" s="12"/>
      <c r="G7" s="12">
        <v>0</v>
      </c>
      <c r="H7" s="12">
        <v>0</v>
      </c>
      <c r="I7" s="12">
        <v>0</v>
      </c>
      <c r="J7" s="12">
        <v>0</v>
      </c>
    </row>
    <row r="8" spans="1:10" ht="16.5" x14ac:dyDescent="0.25">
      <c r="A8" s="12" t="s">
        <v>218</v>
      </c>
      <c r="B8" s="12">
        <v>10</v>
      </c>
      <c r="C8" s="12">
        <v>4</v>
      </c>
      <c r="D8" s="12">
        <v>0</v>
      </c>
      <c r="E8" s="12">
        <v>0</v>
      </c>
      <c r="F8" s="12"/>
      <c r="G8" s="12">
        <v>0</v>
      </c>
      <c r="H8" s="12">
        <v>0</v>
      </c>
      <c r="I8" s="12">
        <v>4</v>
      </c>
      <c r="J8" s="12">
        <v>0</v>
      </c>
    </row>
    <row r="9" spans="1:10" ht="16.5" x14ac:dyDescent="0.25">
      <c r="A9" s="12" t="s">
        <v>219</v>
      </c>
      <c r="B9" s="12">
        <v>5</v>
      </c>
      <c r="C9" s="12">
        <v>7</v>
      </c>
      <c r="D9" s="12">
        <v>1</v>
      </c>
      <c r="E9" s="12">
        <v>0</v>
      </c>
      <c r="F9" s="12"/>
      <c r="G9" s="12">
        <v>0</v>
      </c>
      <c r="H9" s="12">
        <v>4</v>
      </c>
      <c r="I9" s="12">
        <v>2</v>
      </c>
      <c r="J9" s="12">
        <v>0</v>
      </c>
    </row>
    <row r="10" spans="1:10" ht="16.5" x14ac:dyDescent="0.25">
      <c r="A10" s="12" t="s">
        <v>220</v>
      </c>
      <c r="B10" s="12">
        <v>3</v>
      </c>
      <c r="C10" s="12">
        <v>8</v>
      </c>
      <c r="D10" s="12">
        <v>5</v>
      </c>
      <c r="E10" s="12">
        <v>0</v>
      </c>
      <c r="F10" s="12"/>
      <c r="G10" s="12">
        <v>0</v>
      </c>
      <c r="H10" s="12">
        <v>0</v>
      </c>
      <c r="I10" s="12">
        <v>3</v>
      </c>
      <c r="J10" s="12">
        <v>0</v>
      </c>
    </row>
    <row r="11" spans="1:10" ht="16.5" x14ac:dyDescent="0.25">
      <c r="A11" s="12" t="s">
        <v>221</v>
      </c>
      <c r="B11" s="12">
        <v>7</v>
      </c>
      <c r="C11" s="12">
        <v>11</v>
      </c>
      <c r="D11" s="12">
        <v>0</v>
      </c>
      <c r="E11" s="12">
        <v>5</v>
      </c>
      <c r="F11" s="12"/>
      <c r="G11" s="12">
        <v>0</v>
      </c>
      <c r="H11" s="12">
        <v>0</v>
      </c>
      <c r="I11" s="12">
        <v>6</v>
      </c>
      <c r="J11" s="12">
        <v>0</v>
      </c>
    </row>
    <row r="12" spans="1:10" ht="16.5" x14ac:dyDescent="0.25">
      <c r="A12" s="12" t="s">
        <v>222</v>
      </c>
      <c r="B12" s="12">
        <v>3</v>
      </c>
      <c r="C12" s="12">
        <v>2</v>
      </c>
      <c r="D12" s="12">
        <v>0</v>
      </c>
      <c r="E12" s="12">
        <v>1</v>
      </c>
      <c r="F12" s="12"/>
      <c r="G12" s="12">
        <v>0</v>
      </c>
      <c r="H12" s="12">
        <v>0</v>
      </c>
      <c r="I12" s="12">
        <v>1</v>
      </c>
      <c r="J12" s="12">
        <v>0</v>
      </c>
    </row>
    <row r="13" spans="1:10" ht="16.5" x14ac:dyDescent="0.25">
      <c r="A13" s="12" t="s">
        <v>223</v>
      </c>
      <c r="B13" s="12">
        <v>10</v>
      </c>
      <c r="C13" s="12">
        <v>7</v>
      </c>
      <c r="D13" s="12">
        <v>0</v>
      </c>
      <c r="E13" s="12">
        <v>0</v>
      </c>
      <c r="F13" s="12"/>
      <c r="G13" s="12">
        <v>0</v>
      </c>
      <c r="H13" s="12">
        <v>0</v>
      </c>
      <c r="I13" s="12">
        <v>7</v>
      </c>
      <c r="J13" s="12">
        <v>0</v>
      </c>
    </row>
    <row r="14" spans="1:10" ht="16.5" x14ac:dyDescent="0.25">
      <c r="A14" s="12" t="s">
        <v>224</v>
      </c>
      <c r="B14" s="12">
        <v>8</v>
      </c>
      <c r="C14" s="12">
        <v>13</v>
      </c>
      <c r="D14" s="12">
        <v>2</v>
      </c>
      <c r="E14" s="12">
        <v>0</v>
      </c>
      <c r="F14" s="12">
        <v>6</v>
      </c>
      <c r="G14" s="12">
        <v>0</v>
      </c>
      <c r="H14" s="12">
        <v>4</v>
      </c>
      <c r="I14" s="12">
        <v>1</v>
      </c>
      <c r="J14" s="12">
        <v>0</v>
      </c>
    </row>
    <row r="15" spans="1:10" ht="16.5" x14ac:dyDescent="0.25">
      <c r="A15" s="12" t="s">
        <v>225</v>
      </c>
      <c r="B15" s="12">
        <v>7</v>
      </c>
      <c r="C15" s="12">
        <v>8</v>
      </c>
      <c r="D15" s="12">
        <v>0</v>
      </c>
      <c r="E15" s="12">
        <v>0</v>
      </c>
      <c r="F15" s="12">
        <v>4</v>
      </c>
      <c r="G15" s="12">
        <v>0</v>
      </c>
      <c r="H15" s="12">
        <v>1</v>
      </c>
      <c r="I15" s="12">
        <v>3</v>
      </c>
      <c r="J15" s="12">
        <v>0</v>
      </c>
    </row>
    <row r="16" spans="1:10" ht="16.5" x14ac:dyDescent="0.25">
      <c r="A16" s="12" t="s">
        <v>226</v>
      </c>
      <c r="B16" s="12">
        <v>7</v>
      </c>
      <c r="C16" s="12">
        <v>8</v>
      </c>
      <c r="D16" s="12">
        <v>2</v>
      </c>
      <c r="E16" s="12">
        <v>0</v>
      </c>
      <c r="F16" s="12">
        <v>3</v>
      </c>
      <c r="G16" s="12">
        <v>0</v>
      </c>
      <c r="H16" s="12">
        <v>0</v>
      </c>
      <c r="I16" s="12">
        <v>3</v>
      </c>
      <c r="J16" s="12">
        <v>0</v>
      </c>
    </row>
    <row r="17" spans="1:10" ht="16.5" x14ac:dyDescent="0.25">
      <c r="A17" s="12" t="s">
        <v>227</v>
      </c>
      <c r="B17" s="12">
        <v>11</v>
      </c>
      <c r="C17" s="12">
        <v>6</v>
      </c>
      <c r="D17" s="12">
        <v>0</v>
      </c>
      <c r="E17" s="12">
        <v>0</v>
      </c>
      <c r="F17" s="12">
        <v>1</v>
      </c>
      <c r="G17" s="12">
        <v>0</v>
      </c>
      <c r="H17" s="12">
        <v>0</v>
      </c>
      <c r="I17" s="12">
        <v>5</v>
      </c>
      <c r="J17" s="12">
        <v>0</v>
      </c>
    </row>
    <row r="18" spans="1:10" ht="16.5" x14ac:dyDescent="0.25">
      <c r="A18" s="12" t="s">
        <v>228</v>
      </c>
      <c r="B18" s="12">
        <v>20</v>
      </c>
      <c r="C18" s="12">
        <v>16</v>
      </c>
      <c r="D18" s="12">
        <v>0</v>
      </c>
      <c r="E18" s="12">
        <v>3</v>
      </c>
      <c r="F18" s="12">
        <v>2</v>
      </c>
      <c r="G18" s="12">
        <v>0</v>
      </c>
      <c r="H18" s="12">
        <v>1</v>
      </c>
      <c r="I18" s="12">
        <v>10</v>
      </c>
      <c r="J18" s="12">
        <v>0</v>
      </c>
    </row>
    <row r="19" spans="1:10" ht="16.5" x14ac:dyDescent="0.25">
      <c r="A19" s="12" t="s">
        <v>229</v>
      </c>
      <c r="B19" s="12">
        <v>2</v>
      </c>
      <c r="C19" s="12">
        <v>17</v>
      </c>
      <c r="D19" s="12">
        <v>2</v>
      </c>
      <c r="E19" s="12">
        <v>0</v>
      </c>
      <c r="F19" s="12">
        <v>10</v>
      </c>
      <c r="G19" s="12">
        <v>0</v>
      </c>
      <c r="H19" s="12">
        <v>4</v>
      </c>
      <c r="I19" s="12">
        <v>1</v>
      </c>
      <c r="J19" s="12">
        <v>0</v>
      </c>
    </row>
    <row r="20" spans="1:10" ht="16.5" x14ac:dyDescent="0.25">
      <c r="A20" s="12" t="s">
        <v>230</v>
      </c>
      <c r="B20" s="12">
        <v>13</v>
      </c>
      <c r="C20" s="12">
        <v>9</v>
      </c>
      <c r="D20" s="12">
        <v>1</v>
      </c>
      <c r="E20" s="12">
        <v>1</v>
      </c>
      <c r="F20" s="12">
        <v>3</v>
      </c>
      <c r="G20" s="12">
        <v>0</v>
      </c>
      <c r="H20" s="12">
        <v>0</v>
      </c>
      <c r="I20" s="12">
        <v>4</v>
      </c>
      <c r="J20" s="12">
        <v>0</v>
      </c>
    </row>
    <row r="21" spans="1:10" ht="16.5" x14ac:dyDescent="0.25">
      <c r="A21" s="12" t="s">
        <v>231</v>
      </c>
      <c r="B21" s="12">
        <v>11</v>
      </c>
      <c r="C21" s="12">
        <v>5</v>
      </c>
      <c r="D21" s="12">
        <v>0</v>
      </c>
      <c r="E21" s="12">
        <v>0</v>
      </c>
      <c r="F21" s="12">
        <v>1</v>
      </c>
      <c r="G21" s="12">
        <v>0</v>
      </c>
      <c r="H21" s="12">
        <v>0</v>
      </c>
      <c r="I21" s="12">
        <v>4</v>
      </c>
      <c r="J21" s="12">
        <v>0</v>
      </c>
    </row>
    <row r="22" spans="1:10" ht="16.5" x14ac:dyDescent="0.25">
      <c r="A22" s="12" t="s">
        <v>232</v>
      </c>
      <c r="B22" s="12">
        <v>4</v>
      </c>
      <c r="C22" s="12">
        <v>9</v>
      </c>
      <c r="D22" s="12">
        <v>1</v>
      </c>
      <c r="E22" s="12">
        <v>8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</row>
    <row r="23" spans="1:10" ht="16.5" x14ac:dyDescent="0.25">
      <c r="A23" s="12" t="s">
        <v>233</v>
      </c>
      <c r="B23" s="12">
        <v>10</v>
      </c>
      <c r="C23" s="12">
        <v>15</v>
      </c>
      <c r="D23" s="12">
        <v>1</v>
      </c>
      <c r="E23" s="12">
        <v>3</v>
      </c>
      <c r="F23" s="12">
        <v>8</v>
      </c>
      <c r="G23" s="12">
        <v>0</v>
      </c>
      <c r="H23" s="12">
        <v>0</v>
      </c>
      <c r="I23" s="12">
        <v>3</v>
      </c>
      <c r="J23" s="12">
        <v>0</v>
      </c>
    </row>
    <row r="30" spans="1:10" ht="18.75" x14ac:dyDescent="0.3">
      <c r="A30" s="2" t="s">
        <v>0</v>
      </c>
      <c r="B30" s="1">
        <f>AVERAGE(B2:B29)</f>
        <v>7.9090909090909092</v>
      </c>
      <c r="C30" s="1">
        <f t="shared" ref="C30:J30" si="0">AVERAGE(C2:C29)</f>
        <v>8.2727272727272734</v>
      </c>
      <c r="D30" s="1">
        <f t="shared" si="0"/>
        <v>0.95454545454545459</v>
      </c>
      <c r="E30" s="1">
        <f t="shared" si="0"/>
        <v>1.3181818181818181</v>
      </c>
      <c r="F30" s="1">
        <f t="shared" si="0"/>
        <v>3.8</v>
      </c>
      <c r="G30" s="1">
        <f t="shared" si="0"/>
        <v>0</v>
      </c>
      <c r="H30" s="1">
        <f t="shared" si="0"/>
        <v>0.72727272727272729</v>
      </c>
      <c r="I30" s="1">
        <f t="shared" si="0"/>
        <v>3.5454545454545454</v>
      </c>
      <c r="J30" s="1">
        <f t="shared" si="0"/>
        <v>0</v>
      </c>
    </row>
    <row r="31" spans="1:10" ht="18.75" x14ac:dyDescent="0.3">
      <c r="A31" s="3" t="s">
        <v>23</v>
      </c>
      <c r="B31" s="4">
        <f>SUM(B2:B29)</f>
        <v>174</v>
      </c>
      <c r="C31" s="4">
        <f t="shared" ref="C31:J31" si="1">SUM(C2:C29)</f>
        <v>182</v>
      </c>
      <c r="D31" s="4">
        <f t="shared" si="1"/>
        <v>21</v>
      </c>
      <c r="E31" s="4">
        <f t="shared" si="1"/>
        <v>29</v>
      </c>
      <c r="F31" s="4">
        <f t="shared" si="1"/>
        <v>38</v>
      </c>
      <c r="G31" s="4">
        <f t="shared" si="1"/>
        <v>0</v>
      </c>
      <c r="H31" s="4">
        <f t="shared" si="1"/>
        <v>16</v>
      </c>
      <c r="I31" s="4">
        <f t="shared" si="1"/>
        <v>78</v>
      </c>
      <c r="J31" s="4">
        <f t="shared" si="1"/>
        <v>0</v>
      </c>
    </row>
    <row r="32" spans="1:10" ht="18.75" x14ac:dyDescent="0.3">
      <c r="A32" s="5" t="s">
        <v>26</v>
      </c>
      <c r="D32" s="79">
        <f>D31/C31</f>
        <v>0.11538461538461539</v>
      </c>
      <c r="E32" s="79">
        <f>E31/C31</f>
        <v>0.15934065934065933</v>
      </c>
      <c r="F32" s="79">
        <f>F31/C31</f>
        <v>0.2087912087912088</v>
      </c>
      <c r="G32" s="79">
        <f>G31/C31</f>
        <v>0</v>
      </c>
      <c r="H32" s="79">
        <f>H31/C31</f>
        <v>8.7912087912087919E-2</v>
      </c>
      <c r="I32" s="79">
        <f>I31/C31</f>
        <v>0.42857142857142855</v>
      </c>
      <c r="J32" s="79">
        <f>J31/C31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5534-7BCD-43EB-855F-27FBEEB88DE7}">
  <dimension ref="A1:J26"/>
  <sheetViews>
    <sheetView workbookViewId="0"/>
  </sheetViews>
  <sheetFormatPr defaultColWidth="9.140625" defaultRowHeight="15" x14ac:dyDescent="0.25"/>
  <cols>
    <col min="1" max="1" width="40.140625" style="9" customWidth="1"/>
    <col min="2" max="2" width="20.28515625" style="9" customWidth="1"/>
    <col min="3" max="3" width="20.7109375" style="9" customWidth="1"/>
    <col min="4" max="4" width="20.42578125" style="9" customWidth="1"/>
    <col min="5" max="5" width="22.140625" style="9" customWidth="1"/>
    <col min="6" max="6" width="21.28515625" style="9" customWidth="1"/>
    <col min="7" max="7" width="20.28515625" style="9" customWidth="1"/>
    <col min="8" max="8" width="20.140625" style="9" customWidth="1"/>
    <col min="9" max="9" width="19.28515625" style="9" customWidth="1"/>
    <col min="10" max="10" width="15.42578125" style="9" customWidth="1"/>
    <col min="11" max="16384" width="9.140625" style="9"/>
  </cols>
  <sheetData>
    <row r="1" spans="1:10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</row>
    <row r="2" spans="1:10" ht="16.5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ht="16.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ht="16.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ht="16.5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ht="16.5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ht="16.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ht="16.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ht="16.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 ht="16.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 ht="16.5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16.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ht="16.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16.5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16.5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ht="16.5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16.5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16.5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ht="16.5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16.5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ht="16.5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16.5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ht="16.5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ht="18.75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18.75" x14ac:dyDescent="0.3">
      <c r="A25" s="15"/>
      <c r="B25" s="16"/>
      <c r="C25" s="16"/>
      <c r="D25" s="16"/>
      <c r="E25" s="16"/>
      <c r="F25" s="16"/>
      <c r="G25" s="16"/>
      <c r="H25" s="16"/>
      <c r="I25" s="16"/>
      <c r="J25" s="16"/>
    </row>
    <row r="26" spans="1:10" ht="18.75" x14ac:dyDescent="0.3">
      <c r="A26" s="17"/>
      <c r="B26" s="18"/>
      <c r="C26" s="18"/>
      <c r="D26" s="19"/>
      <c r="E26" s="19"/>
      <c r="F26" s="19"/>
      <c r="G26" s="19"/>
      <c r="H26" s="19"/>
      <c r="I26" s="19"/>
      <c r="J26" s="19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21AB-2056-4CB6-BD0F-9F6E89460886}">
  <dimension ref="A1:I23"/>
  <sheetViews>
    <sheetView workbookViewId="0"/>
  </sheetViews>
  <sheetFormatPr defaultColWidth="9.140625" defaultRowHeight="15" x14ac:dyDescent="0.25"/>
  <cols>
    <col min="1" max="1" width="41.7109375" style="7" customWidth="1"/>
    <col min="2" max="2" width="13.42578125" style="7" customWidth="1"/>
    <col min="3" max="3" width="15.5703125" style="7" customWidth="1"/>
    <col min="4" max="4" width="16.42578125" style="7" customWidth="1"/>
    <col min="5" max="5" width="16.7109375" style="7" customWidth="1"/>
    <col min="6" max="6" width="16" style="7" customWidth="1"/>
    <col min="7" max="7" width="20.140625" style="7" customWidth="1"/>
    <col min="8" max="8" width="18.140625" style="7" customWidth="1"/>
    <col min="9" max="9" width="19.28515625" style="7" customWidth="1"/>
    <col min="10" max="16384" width="9.140625" style="7"/>
  </cols>
  <sheetData>
    <row r="1" spans="1:9" x14ac:dyDescent="0.25">
      <c r="A1" s="27"/>
      <c r="B1" s="11"/>
      <c r="C1" s="11"/>
      <c r="D1" s="11"/>
      <c r="E1" s="11"/>
      <c r="F1" s="11"/>
      <c r="G1" s="11"/>
      <c r="H1" s="11"/>
      <c r="I1" s="11"/>
    </row>
    <row r="2" spans="1:9" ht="16.5" x14ac:dyDescent="0.25">
      <c r="A2" s="10"/>
      <c r="B2" s="12"/>
      <c r="C2" s="12"/>
      <c r="D2" s="12"/>
      <c r="E2" s="12"/>
      <c r="F2" s="12"/>
      <c r="G2" s="12"/>
      <c r="H2" s="12"/>
      <c r="I2" s="12"/>
    </row>
    <row r="3" spans="1:9" ht="16.5" x14ac:dyDescent="0.25">
      <c r="A3" s="10"/>
      <c r="B3" s="12"/>
      <c r="C3" s="12"/>
      <c r="D3" s="12"/>
      <c r="E3" s="12"/>
      <c r="F3" s="12"/>
      <c r="G3" s="12"/>
      <c r="H3" s="12"/>
      <c r="I3" s="12"/>
    </row>
    <row r="4" spans="1:9" ht="16.5" x14ac:dyDescent="0.25">
      <c r="A4" s="10"/>
      <c r="B4" s="12"/>
      <c r="C4" s="12"/>
      <c r="D4" s="12"/>
      <c r="E4" s="12"/>
      <c r="F4" s="12"/>
      <c r="G4" s="12"/>
      <c r="H4" s="12"/>
      <c r="I4" s="12"/>
    </row>
    <row r="5" spans="1:9" ht="16.5" x14ac:dyDescent="0.25">
      <c r="A5" s="10"/>
      <c r="B5" s="12"/>
      <c r="C5" s="12"/>
      <c r="D5" s="12"/>
      <c r="E5" s="12"/>
      <c r="F5" s="12"/>
      <c r="G5" s="12"/>
      <c r="H5" s="12"/>
      <c r="I5" s="12"/>
    </row>
    <row r="6" spans="1:9" ht="16.5" x14ac:dyDescent="0.25">
      <c r="A6" s="10"/>
      <c r="B6" s="12"/>
      <c r="C6" s="12"/>
      <c r="D6" s="12"/>
      <c r="E6" s="12"/>
      <c r="F6" s="12"/>
      <c r="G6" s="12"/>
      <c r="H6" s="12"/>
      <c r="I6" s="12"/>
    </row>
    <row r="7" spans="1:9" ht="16.5" x14ac:dyDescent="0.25">
      <c r="A7" s="10"/>
      <c r="B7" s="12"/>
      <c r="C7" s="12"/>
      <c r="D7" s="12"/>
      <c r="E7" s="12"/>
      <c r="F7" s="12"/>
      <c r="G7" s="12"/>
      <c r="H7" s="12"/>
      <c r="I7" s="12"/>
    </row>
    <row r="8" spans="1:9" ht="16.5" x14ac:dyDescent="0.25">
      <c r="A8" s="10"/>
      <c r="B8" s="12"/>
      <c r="C8" s="12"/>
      <c r="D8" s="12"/>
      <c r="E8" s="12"/>
      <c r="F8" s="12"/>
      <c r="G8" s="12"/>
      <c r="H8" s="12"/>
      <c r="I8" s="12"/>
    </row>
    <row r="9" spans="1:9" ht="16.5" x14ac:dyDescent="0.25">
      <c r="A9" s="10"/>
      <c r="B9" s="12"/>
      <c r="C9" s="12"/>
      <c r="D9" s="12"/>
      <c r="E9" s="12"/>
      <c r="F9" s="12"/>
      <c r="G9" s="12"/>
      <c r="H9" s="12"/>
      <c r="I9" s="12"/>
    </row>
    <row r="10" spans="1:9" ht="16.5" x14ac:dyDescent="0.25">
      <c r="A10" s="10"/>
      <c r="B10" s="12"/>
      <c r="C10" s="12"/>
      <c r="D10" s="12"/>
      <c r="E10" s="12"/>
      <c r="F10" s="12"/>
      <c r="G10" s="12"/>
      <c r="H10" s="12"/>
      <c r="I10" s="12"/>
    </row>
    <row r="11" spans="1:9" ht="16.5" x14ac:dyDescent="0.25">
      <c r="A11" s="10"/>
      <c r="B11" s="12"/>
      <c r="C11" s="12"/>
      <c r="D11" s="12"/>
      <c r="E11" s="12"/>
      <c r="F11" s="12"/>
      <c r="G11" s="12"/>
      <c r="H11" s="12"/>
      <c r="I11" s="12"/>
    </row>
    <row r="12" spans="1:9" ht="16.5" x14ac:dyDescent="0.25">
      <c r="A12" s="10"/>
      <c r="B12" s="12"/>
      <c r="C12" s="12"/>
      <c r="D12" s="12"/>
      <c r="E12" s="12"/>
      <c r="F12" s="12"/>
      <c r="G12" s="12"/>
      <c r="H12" s="12"/>
      <c r="I12" s="12"/>
    </row>
    <row r="13" spans="1:9" ht="16.5" x14ac:dyDescent="0.25">
      <c r="A13" s="10"/>
      <c r="B13" s="12"/>
      <c r="C13" s="12"/>
      <c r="D13" s="12"/>
      <c r="E13" s="12"/>
      <c r="F13" s="12"/>
      <c r="G13" s="12"/>
      <c r="H13" s="12"/>
      <c r="I13" s="12"/>
    </row>
    <row r="14" spans="1:9" ht="16.5" x14ac:dyDescent="0.25">
      <c r="A14" s="10"/>
      <c r="B14" s="12"/>
      <c r="C14" s="12"/>
      <c r="D14" s="12"/>
      <c r="E14" s="12"/>
      <c r="F14" s="12"/>
      <c r="G14" s="12"/>
      <c r="H14" s="12"/>
      <c r="I14" s="12"/>
    </row>
    <row r="15" spans="1:9" ht="16.5" x14ac:dyDescent="0.25">
      <c r="A15" s="10"/>
      <c r="B15" s="12"/>
      <c r="C15" s="12"/>
      <c r="D15" s="12"/>
      <c r="E15" s="12"/>
      <c r="F15" s="12"/>
      <c r="G15" s="12"/>
      <c r="H15" s="12"/>
      <c r="I15" s="12"/>
    </row>
    <row r="16" spans="1:9" ht="16.5" x14ac:dyDescent="0.25">
      <c r="A16" s="10"/>
      <c r="B16" s="12"/>
      <c r="C16" s="12"/>
      <c r="D16" s="12"/>
      <c r="E16" s="12"/>
      <c r="F16" s="12"/>
      <c r="G16" s="12"/>
      <c r="H16" s="12"/>
      <c r="I16" s="12"/>
    </row>
    <row r="17" spans="1:9" ht="16.5" x14ac:dyDescent="0.25">
      <c r="A17" s="10"/>
      <c r="B17" s="12"/>
      <c r="C17" s="12"/>
      <c r="D17" s="12"/>
      <c r="E17" s="12"/>
      <c r="F17" s="12"/>
      <c r="G17" s="12"/>
      <c r="H17" s="12"/>
      <c r="I17" s="12"/>
    </row>
    <row r="18" spans="1:9" ht="16.5" x14ac:dyDescent="0.25">
      <c r="A18" s="10"/>
      <c r="B18" s="12"/>
      <c r="C18" s="12"/>
      <c r="D18" s="12"/>
      <c r="E18" s="12"/>
      <c r="F18" s="12"/>
      <c r="G18" s="12"/>
      <c r="H18" s="12"/>
      <c r="I18" s="12"/>
    </row>
    <row r="19" spans="1:9" ht="16.5" x14ac:dyDescent="0.25">
      <c r="A19" s="10"/>
      <c r="B19" s="12"/>
      <c r="C19" s="12"/>
      <c r="D19" s="12"/>
      <c r="E19" s="12"/>
      <c r="F19" s="12"/>
      <c r="G19" s="12"/>
      <c r="H19" s="12"/>
      <c r="I19" s="12"/>
    </row>
    <row r="20" spans="1:9" ht="16.5" x14ac:dyDescent="0.25">
      <c r="A20" s="10"/>
      <c r="B20" s="12"/>
      <c r="C20" s="12"/>
      <c r="D20" s="12"/>
      <c r="E20" s="12"/>
      <c r="F20" s="12"/>
      <c r="G20" s="12"/>
      <c r="H20" s="12"/>
      <c r="I20" s="12"/>
    </row>
    <row r="21" spans="1:9" ht="18.75" x14ac:dyDescent="0.3">
      <c r="A21" s="13"/>
      <c r="B21" s="14"/>
      <c r="C21" s="14"/>
      <c r="D21" s="14"/>
      <c r="E21" s="14"/>
      <c r="F21" s="14"/>
      <c r="G21" s="14"/>
      <c r="H21" s="14"/>
      <c r="I21" s="14"/>
    </row>
    <row r="22" spans="1:9" ht="18.75" x14ac:dyDescent="0.3">
      <c r="A22" s="15"/>
      <c r="B22" s="16"/>
      <c r="C22" s="16"/>
      <c r="D22" s="16"/>
      <c r="E22" s="16"/>
      <c r="F22" s="16"/>
      <c r="G22" s="16"/>
      <c r="H22" s="16"/>
      <c r="I22" s="16"/>
    </row>
    <row r="23" spans="1:9" ht="18.75" x14ac:dyDescent="0.3">
      <c r="A23" s="17"/>
      <c r="B23" s="18"/>
      <c r="C23" s="18"/>
      <c r="D23" s="19"/>
      <c r="E23" s="19"/>
      <c r="F23" s="19"/>
      <c r="G23" s="19"/>
      <c r="H23" s="19"/>
      <c r="I23" s="19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E0B8-28D4-435A-9352-9EDFCE5C6033}">
  <dimension ref="A1:I24"/>
  <sheetViews>
    <sheetView workbookViewId="0"/>
  </sheetViews>
  <sheetFormatPr defaultColWidth="8.85546875" defaultRowHeight="15" x14ac:dyDescent="0.25"/>
  <cols>
    <col min="1" max="1" width="38.140625" style="9" customWidth="1"/>
    <col min="2" max="2" width="14.28515625" style="9" customWidth="1"/>
    <col min="3" max="3" width="14" style="9" customWidth="1"/>
    <col min="4" max="5" width="13" style="9" customWidth="1"/>
    <col min="6" max="6" width="13.140625" style="9" customWidth="1"/>
    <col min="7" max="7" width="19.7109375" style="9" customWidth="1"/>
    <col min="8" max="8" width="12.140625" style="9" customWidth="1"/>
    <col min="9" max="9" width="16.28515625" style="9" customWidth="1"/>
    <col min="10" max="16384" width="8.85546875" style="9"/>
  </cols>
  <sheetData>
    <row r="1" spans="1:9" ht="16.5" x14ac:dyDescent="0.25">
      <c r="A1" s="28"/>
      <c r="B1" s="28"/>
      <c r="C1" s="28"/>
      <c r="D1" s="28"/>
      <c r="E1" s="28"/>
      <c r="F1" s="28"/>
      <c r="G1" s="28"/>
      <c r="H1" s="28"/>
      <c r="I1" s="28"/>
    </row>
    <row r="2" spans="1:9" ht="16.5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9" ht="16.5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9" ht="16.5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9" ht="16.5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9" ht="16.5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9" ht="16.5" x14ac:dyDescent="0.25">
      <c r="A7" s="12"/>
      <c r="B7" s="12"/>
      <c r="C7" s="12"/>
      <c r="D7" s="12"/>
      <c r="E7" s="12"/>
      <c r="F7" s="12"/>
      <c r="G7" s="12"/>
      <c r="H7" s="12"/>
      <c r="I7" s="12"/>
    </row>
    <row r="8" spans="1:9" ht="16.5" x14ac:dyDescent="0.25">
      <c r="A8" s="12"/>
      <c r="B8" s="12"/>
      <c r="C8" s="12"/>
      <c r="D8" s="12"/>
      <c r="E8" s="12"/>
      <c r="F8" s="12"/>
      <c r="G8" s="12"/>
      <c r="H8" s="12"/>
      <c r="I8" s="12"/>
    </row>
    <row r="9" spans="1:9" ht="16.5" x14ac:dyDescent="0.25">
      <c r="A9" s="12"/>
      <c r="B9" s="12"/>
      <c r="C9" s="12"/>
      <c r="D9" s="12"/>
      <c r="E9" s="12"/>
      <c r="F9" s="12"/>
      <c r="G9" s="12"/>
      <c r="H9" s="12"/>
      <c r="I9" s="12"/>
    </row>
    <row r="10" spans="1:9" ht="16.5" x14ac:dyDescent="0.25">
      <c r="A10" s="12"/>
      <c r="B10" s="12"/>
      <c r="C10" s="12"/>
      <c r="D10" s="12"/>
      <c r="E10" s="12"/>
      <c r="F10" s="12"/>
      <c r="G10" s="12"/>
      <c r="H10" s="12"/>
      <c r="I10" s="12"/>
    </row>
    <row r="11" spans="1:9" ht="16.5" x14ac:dyDescent="0.25">
      <c r="A11" s="12"/>
      <c r="B11" s="12"/>
      <c r="C11" s="12"/>
      <c r="D11" s="12"/>
      <c r="E11" s="12"/>
      <c r="F11" s="12"/>
      <c r="G11" s="12"/>
      <c r="H11" s="12"/>
      <c r="I11" s="12"/>
    </row>
    <row r="12" spans="1:9" ht="16.5" x14ac:dyDescent="0.25">
      <c r="A12" s="12"/>
      <c r="B12" s="12"/>
      <c r="C12" s="12"/>
      <c r="D12" s="12"/>
      <c r="E12" s="12"/>
      <c r="F12" s="12"/>
      <c r="G12" s="12"/>
      <c r="H12" s="12"/>
      <c r="I12" s="12"/>
    </row>
    <row r="13" spans="1:9" ht="16.5" x14ac:dyDescent="0.25">
      <c r="A13" s="12"/>
      <c r="B13" s="12"/>
      <c r="C13" s="12"/>
      <c r="D13" s="12"/>
      <c r="E13" s="12"/>
      <c r="F13" s="12"/>
      <c r="G13" s="12"/>
      <c r="H13" s="12"/>
      <c r="I13" s="12"/>
    </row>
    <row r="14" spans="1:9" ht="16.5" x14ac:dyDescent="0.25">
      <c r="A14" s="12"/>
      <c r="B14" s="12"/>
      <c r="C14" s="12"/>
      <c r="D14" s="12"/>
      <c r="E14" s="12"/>
      <c r="F14" s="12"/>
      <c r="G14" s="12"/>
      <c r="H14" s="12"/>
      <c r="I14" s="12"/>
    </row>
    <row r="15" spans="1:9" ht="16.5" x14ac:dyDescent="0.25">
      <c r="A15" s="12"/>
      <c r="B15" s="12"/>
      <c r="C15" s="12"/>
      <c r="D15" s="12"/>
      <c r="E15" s="12"/>
      <c r="F15" s="12"/>
      <c r="G15" s="12"/>
      <c r="H15" s="12"/>
      <c r="I15" s="12"/>
    </row>
    <row r="16" spans="1:9" ht="16.5" x14ac:dyDescent="0.25">
      <c r="A16" s="12"/>
      <c r="B16" s="12"/>
      <c r="C16" s="12"/>
      <c r="D16" s="12"/>
      <c r="E16" s="12"/>
      <c r="F16" s="12"/>
      <c r="G16" s="12"/>
      <c r="H16" s="12"/>
      <c r="I16" s="12"/>
    </row>
    <row r="17" spans="1:9" ht="16.5" x14ac:dyDescent="0.25">
      <c r="A17" s="12"/>
      <c r="B17" s="12"/>
      <c r="C17" s="12"/>
      <c r="D17" s="12"/>
      <c r="E17" s="12"/>
      <c r="F17" s="12"/>
      <c r="G17" s="12"/>
      <c r="H17" s="12"/>
      <c r="I17" s="12"/>
    </row>
    <row r="18" spans="1:9" ht="16.5" x14ac:dyDescent="0.25">
      <c r="A18" s="12"/>
      <c r="B18" s="12"/>
      <c r="C18" s="12"/>
      <c r="D18" s="12"/>
      <c r="E18" s="12"/>
      <c r="F18" s="12"/>
      <c r="G18" s="12"/>
      <c r="H18" s="12"/>
      <c r="I18" s="12"/>
    </row>
    <row r="19" spans="1:9" ht="16.5" x14ac:dyDescent="0.25">
      <c r="A19" s="12"/>
      <c r="B19" s="12"/>
      <c r="C19" s="12"/>
      <c r="D19" s="12"/>
      <c r="E19" s="12"/>
      <c r="F19" s="12"/>
      <c r="G19" s="12"/>
      <c r="H19" s="12"/>
      <c r="I19" s="12"/>
    </row>
    <row r="20" spans="1:9" ht="16.5" x14ac:dyDescent="0.25">
      <c r="A20" s="12"/>
      <c r="B20" s="12"/>
      <c r="C20" s="12"/>
      <c r="D20" s="12"/>
      <c r="E20" s="12"/>
      <c r="F20" s="12"/>
      <c r="G20" s="12"/>
      <c r="H20" s="12"/>
      <c r="I20" s="12"/>
    </row>
    <row r="21" spans="1:9" ht="16.5" x14ac:dyDescent="0.25">
      <c r="A21" s="12"/>
      <c r="B21" s="12"/>
      <c r="C21" s="12"/>
      <c r="D21" s="12"/>
      <c r="E21" s="12"/>
      <c r="F21" s="12"/>
      <c r="G21" s="12"/>
      <c r="H21" s="12"/>
      <c r="I21" s="12"/>
    </row>
    <row r="22" spans="1:9" ht="18.75" x14ac:dyDescent="0.3">
      <c r="A22" s="13"/>
      <c r="B22" s="14"/>
      <c r="C22" s="14"/>
      <c r="D22" s="14"/>
      <c r="E22" s="14"/>
      <c r="F22" s="14"/>
      <c r="G22" s="14"/>
      <c r="H22" s="14"/>
      <c r="I22" s="14"/>
    </row>
    <row r="23" spans="1:9" ht="18.75" x14ac:dyDescent="0.3">
      <c r="A23" s="15"/>
      <c r="B23" s="16"/>
      <c r="C23" s="16"/>
      <c r="D23" s="16"/>
      <c r="E23" s="16"/>
      <c r="F23" s="16"/>
      <c r="G23" s="16"/>
      <c r="H23" s="16"/>
      <c r="I23" s="16"/>
    </row>
    <row r="24" spans="1:9" ht="18.75" x14ac:dyDescent="0.3">
      <c r="A24" s="17"/>
      <c r="B24" s="18"/>
      <c r="C24" s="18"/>
      <c r="D24" s="19"/>
      <c r="E24" s="19"/>
      <c r="F24" s="19"/>
      <c r="G24" s="19"/>
      <c r="H24" s="19"/>
      <c r="I24" s="19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aa00f0-701f-46f3-bac8-c7b53165e82b" xsi:nil="true"/>
    <lcf76f155ced4ddcb4097134ff3c332f xmlns="2cb162dc-10ae-41e7-ad88-ef88cd02078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74521013D363438162814CB3C3274E" ma:contentTypeVersion="18" ma:contentTypeDescription="Crie um novo documento." ma:contentTypeScope="" ma:versionID="a86e4357f00eeb667c37edaf57a3f4ff">
  <xsd:schema xmlns:xsd="http://www.w3.org/2001/XMLSchema" xmlns:xs="http://www.w3.org/2001/XMLSchema" xmlns:p="http://schemas.microsoft.com/office/2006/metadata/properties" xmlns:ns2="2cb162dc-10ae-41e7-ad88-ef88cd020782" xmlns:ns3="c8aa00f0-701f-46f3-bac8-c7b53165e82b" targetNamespace="http://schemas.microsoft.com/office/2006/metadata/properties" ma:root="true" ma:fieldsID="52ed42daa039007d654f69783bba2e97" ns2:_="" ns3:_="">
    <xsd:import namespace="2cb162dc-10ae-41e7-ad88-ef88cd020782"/>
    <xsd:import namespace="c8aa00f0-701f-46f3-bac8-c7b53165e8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b162dc-10ae-41e7-ad88-ef88cd0207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5aceab9-5ff2-43e4-bddd-13a9b4577f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aa00f0-701f-46f3-bac8-c7b53165e82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2153108-1f83-4942-96ee-9b229bd88006}" ma:internalName="TaxCatchAll" ma:showField="CatchAllData" ma:web="c8aa00f0-701f-46f3-bac8-c7b53165e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B567D8-B6B7-428A-BE56-BB96D08839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13471A-5496-4502-B82B-1B1DE3FF851B}">
  <ds:schemaRefs>
    <ds:schemaRef ds:uri="http://schemas.microsoft.com/office/2006/metadata/properties"/>
    <ds:schemaRef ds:uri="http://schemas.microsoft.com/office/infopath/2007/PartnerControls"/>
    <ds:schemaRef ds:uri="c8aa00f0-701f-46f3-bac8-c7b53165e82b"/>
    <ds:schemaRef ds:uri="2cb162dc-10ae-41e7-ad88-ef88cd020782"/>
  </ds:schemaRefs>
</ds:datastoreItem>
</file>

<file path=customXml/itemProps3.xml><?xml version="1.0" encoding="utf-8"?>
<ds:datastoreItem xmlns:ds="http://schemas.openxmlformats.org/officeDocument/2006/customXml" ds:itemID="{D5991349-7DB6-4550-9291-2FDB5558EF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b162dc-10ae-41e7-ad88-ef88cd020782"/>
    <ds:schemaRef ds:uri="c8aa00f0-701f-46f3-bac8-c7b53165e8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Resumo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Xavier Cogini</dc:creator>
  <cp:keywords/>
  <dc:description/>
  <cp:lastModifiedBy>Andre Xavier Cogini</cp:lastModifiedBy>
  <cp:revision/>
  <dcterms:created xsi:type="dcterms:W3CDTF">2015-06-05T18:19:34Z</dcterms:created>
  <dcterms:modified xsi:type="dcterms:W3CDTF">2024-10-01T11:44:30Z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0x0101007E74521013D363438162814CB3C3274E</vt:lpwstr>
  </property>
  <property fmtid="{D5CDD505-2E9C-101B-9397-08002B2CF9AE}" pid="3" name="MediaServiceImageTags">
    <vt:lpwstr/>
  </property>
</Properties>
</file>