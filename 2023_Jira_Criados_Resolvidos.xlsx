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nvrs.sharepoint.com/sites/Tecnologia/Documentos Compartilhados/Documentos administrativos/Relatorios/2023/"/>
    </mc:Choice>
  </mc:AlternateContent>
  <xr:revisionPtr revIDLastSave="1124" documentId="13_ncr:1_{82FC825C-E73C-4886-BA37-458E77BFC0D3}" xr6:coauthVersionLast="47" xr6:coauthVersionMax="47" xr10:uidLastSave="{E9B607D5-6BBC-474A-9081-4936F8FA1103}"/>
  <bookViews>
    <workbookView xWindow="-108" yWindow="-108" windowWidth="23256" windowHeight="12456" xr2:uid="{00000000-000D-0000-FFFF-FFFF00000000}"/>
  </bookViews>
  <sheets>
    <sheet name="Resumo" sheetId="4" r:id="rId1"/>
    <sheet name="Jan-23" sheetId="3" r:id="rId2"/>
    <sheet name="Fev-23" sheetId="1" r:id="rId3"/>
    <sheet name="Mar-23" sheetId="5" r:id="rId4"/>
    <sheet name="Abr-23" sheetId="6" r:id="rId5"/>
    <sheet name="Mai-23" sheetId="7" r:id="rId6"/>
    <sheet name="Jun-23" sheetId="9" r:id="rId7"/>
    <sheet name="Jul-23" sheetId="10" r:id="rId8"/>
    <sheet name="Ago-23" sheetId="11" r:id="rId9"/>
    <sheet name="Set-23" sheetId="12" r:id="rId10"/>
    <sheet name="Out-23" sheetId="13" r:id="rId11"/>
    <sheet name="Nov-23" sheetId="14" r:id="rId12"/>
    <sheet name="Dez-23" sheetId="15" r:id="rId13"/>
  </sheets>
  <definedNames>
    <definedName name="_xlnm._FilterDatabase" localSheetId="4" hidden="1">'Abr-23'!$A$1:$I$20</definedName>
    <definedName name="_xlnm._FilterDatabase" localSheetId="8" hidden="1">'Ago-23'!$A$1:$I$24</definedName>
    <definedName name="_xlnm._FilterDatabase" localSheetId="2" hidden="1">'Fev-23'!$A$1:$I$20</definedName>
    <definedName name="_xlnm._FilterDatabase" localSheetId="1" hidden="1">'Jan-23'!$A$1:$I$23</definedName>
    <definedName name="_xlnm._FilterDatabase" localSheetId="7" hidden="1">'Jul-23'!$A$1:$I$22</definedName>
    <definedName name="_xlnm._FilterDatabase" localSheetId="6" hidden="1">'Jun-23'!$A$1:$I$23</definedName>
    <definedName name="_xlnm._FilterDatabase" localSheetId="5" hidden="1">'Mai-23'!$A$1:$I$26</definedName>
    <definedName name="_xlnm._FilterDatabase" localSheetId="3" hidden="1">'Mar-23'!$A$1:$I$28</definedName>
    <definedName name="_xlnm._FilterDatabase" localSheetId="11" hidden="1">'Nov-23'!$A$1:$I$20</definedName>
    <definedName name="_xlnm._FilterDatabase" localSheetId="10" hidden="1">'Out-23'!$A$1:$J$23</definedName>
    <definedName name="_xlnm._FilterDatabase" localSheetId="9" hidden="1">'Set-23'!$A$1:$J$24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4" l="1"/>
  <c r="G49" i="4"/>
  <c r="E49" i="4"/>
  <c r="D49" i="4"/>
  <c r="C49" i="4"/>
  <c r="J33" i="4"/>
  <c r="J31" i="4"/>
  <c r="I31" i="4"/>
  <c r="G31" i="4"/>
  <c r="F31" i="4"/>
  <c r="E31" i="4"/>
  <c r="C31" i="4"/>
  <c r="B31" i="4"/>
  <c r="B33" i="4" s="1"/>
  <c r="J14" i="4"/>
  <c r="I14" i="4"/>
  <c r="G14" i="4"/>
  <c r="F14" i="4"/>
  <c r="E14" i="4"/>
  <c r="C14" i="4"/>
  <c r="B14" i="4"/>
  <c r="C23" i="15"/>
  <c r="D23" i="15"/>
  <c r="E23" i="15"/>
  <c r="F23" i="15"/>
  <c r="G23" i="15"/>
  <c r="G24" i="15" s="1"/>
  <c r="H23" i="15"/>
  <c r="H24" i="15" s="1"/>
  <c r="I23" i="15"/>
  <c r="I24" i="15" s="1"/>
  <c r="B23" i="15"/>
  <c r="C22" i="15"/>
  <c r="D22" i="15"/>
  <c r="E22" i="15"/>
  <c r="F22" i="15"/>
  <c r="G22" i="15"/>
  <c r="H22" i="15"/>
  <c r="I22" i="15"/>
  <c r="B22" i="15"/>
  <c r="D24" i="15"/>
  <c r="F24" i="15"/>
  <c r="E24" i="15"/>
  <c r="H48" i="4"/>
  <c r="G48" i="4"/>
  <c r="F48" i="4"/>
  <c r="E48" i="4"/>
  <c r="D48" i="4"/>
  <c r="I48" i="4" s="1"/>
  <c r="C48" i="4"/>
  <c r="J30" i="4"/>
  <c r="I30" i="4"/>
  <c r="H30" i="4"/>
  <c r="G30" i="4"/>
  <c r="F30" i="4"/>
  <c r="E30" i="4"/>
  <c r="C30" i="4"/>
  <c r="B30" i="4"/>
  <c r="J15" i="4"/>
  <c r="J13" i="4"/>
  <c r="I13" i="4"/>
  <c r="H13" i="4"/>
  <c r="G13" i="4"/>
  <c r="F13" i="4"/>
  <c r="E13" i="4"/>
  <c r="C13" i="4"/>
  <c r="B13" i="4"/>
  <c r="C22" i="14"/>
  <c r="D22" i="14"/>
  <c r="D23" i="14" s="1"/>
  <c r="E22" i="14"/>
  <c r="F22" i="14"/>
  <c r="G22" i="14"/>
  <c r="H22" i="14"/>
  <c r="I22" i="14"/>
  <c r="B22" i="14"/>
  <c r="C21" i="14"/>
  <c r="D21" i="14"/>
  <c r="E21" i="14"/>
  <c r="F21" i="14"/>
  <c r="G21" i="14"/>
  <c r="H21" i="14"/>
  <c r="I21" i="14"/>
  <c r="B21" i="14"/>
  <c r="C47" i="4"/>
  <c r="D47" i="4"/>
  <c r="I47" i="4" s="1"/>
  <c r="E47" i="4"/>
  <c r="F47" i="4"/>
  <c r="G47" i="4"/>
  <c r="H47" i="4"/>
  <c r="B47" i="4"/>
  <c r="E29" i="4"/>
  <c r="F29" i="4"/>
  <c r="G29" i="4"/>
  <c r="H29" i="4"/>
  <c r="I29" i="4"/>
  <c r="J29" i="4"/>
  <c r="J32" i="4" s="1"/>
  <c r="H51" i="4" s="1"/>
  <c r="D29" i="4"/>
  <c r="C29" i="4"/>
  <c r="B29" i="4"/>
  <c r="F12" i="4"/>
  <c r="G12" i="4"/>
  <c r="H12" i="4"/>
  <c r="I12" i="4"/>
  <c r="J12" i="4"/>
  <c r="E12" i="4"/>
  <c r="D12" i="4"/>
  <c r="C12" i="4"/>
  <c r="B12" i="4"/>
  <c r="G24" i="13"/>
  <c r="C25" i="13"/>
  <c r="D25" i="13"/>
  <c r="E25" i="13"/>
  <c r="F25" i="13"/>
  <c r="G25" i="13"/>
  <c r="H25" i="13"/>
  <c r="H26" i="13" s="1"/>
  <c r="I25" i="13"/>
  <c r="I26" i="13" s="1"/>
  <c r="J25" i="13"/>
  <c r="J26" i="13" s="1"/>
  <c r="B25" i="13"/>
  <c r="C24" i="13"/>
  <c r="D24" i="13"/>
  <c r="E24" i="13"/>
  <c r="F24" i="13"/>
  <c r="H24" i="13"/>
  <c r="I24" i="13"/>
  <c r="J24" i="13"/>
  <c r="B24" i="13"/>
  <c r="G26" i="13"/>
  <c r="F26" i="13"/>
  <c r="E26" i="13"/>
  <c r="D26" i="13"/>
  <c r="H50" i="4"/>
  <c r="I49" i="4"/>
  <c r="I46" i="4"/>
  <c r="C46" i="4"/>
  <c r="D46" i="4"/>
  <c r="E46" i="4"/>
  <c r="F46" i="4"/>
  <c r="G46" i="4"/>
  <c r="H46" i="4"/>
  <c r="B46" i="4"/>
  <c r="C28" i="4"/>
  <c r="D28" i="4"/>
  <c r="E28" i="4"/>
  <c r="F28" i="4"/>
  <c r="G28" i="4"/>
  <c r="H28" i="4"/>
  <c r="I28" i="4"/>
  <c r="J28" i="4"/>
  <c r="B28" i="4"/>
  <c r="C11" i="4"/>
  <c r="D11" i="4"/>
  <c r="E11" i="4"/>
  <c r="F11" i="4"/>
  <c r="G11" i="4"/>
  <c r="H11" i="4"/>
  <c r="I11" i="4"/>
  <c r="J11" i="4"/>
  <c r="B11" i="4"/>
  <c r="J24" i="12"/>
  <c r="C23" i="12"/>
  <c r="D23" i="12"/>
  <c r="E23" i="12"/>
  <c r="F23" i="12"/>
  <c r="G23" i="12"/>
  <c r="G24" i="12" s="1"/>
  <c r="H23" i="12"/>
  <c r="H24" i="12" s="1"/>
  <c r="I23" i="12"/>
  <c r="J23" i="12"/>
  <c r="B23" i="12"/>
  <c r="C22" i="12"/>
  <c r="D22" i="12"/>
  <c r="E22" i="12"/>
  <c r="F22" i="12"/>
  <c r="G22" i="12"/>
  <c r="H22" i="12"/>
  <c r="I22" i="12"/>
  <c r="J22" i="12"/>
  <c r="B22" i="12"/>
  <c r="F24" i="12"/>
  <c r="E24" i="12"/>
  <c r="D24" i="12"/>
  <c r="I24" i="12"/>
  <c r="C45" i="4"/>
  <c r="D45" i="4"/>
  <c r="E45" i="4"/>
  <c r="I45" i="4" s="1"/>
  <c r="F45" i="4"/>
  <c r="G45" i="4"/>
  <c r="B45" i="4"/>
  <c r="C27" i="4"/>
  <c r="D27" i="4"/>
  <c r="E27" i="4"/>
  <c r="F27" i="4"/>
  <c r="G27" i="4"/>
  <c r="H27" i="4"/>
  <c r="I27" i="4"/>
  <c r="B27" i="4"/>
  <c r="C10" i="4"/>
  <c r="D10" i="4"/>
  <c r="E10" i="4"/>
  <c r="F10" i="4"/>
  <c r="G10" i="4"/>
  <c r="H10" i="4"/>
  <c r="I10" i="4"/>
  <c r="B10" i="4"/>
  <c r="G25" i="11"/>
  <c r="C26" i="11"/>
  <c r="D26" i="11"/>
  <c r="E26" i="11"/>
  <c r="E27" i="11" s="1"/>
  <c r="F26" i="11"/>
  <c r="G26" i="11"/>
  <c r="H26" i="11"/>
  <c r="H27" i="11" s="1"/>
  <c r="I26" i="11"/>
  <c r="I27" i="11" s="1"/>
  <c r="B26" i="11"/>
  <c r="C25" i="11"/>
  <c r="D25" i="11"/>
  <c r="E25" i="11"/>
  <c r="F25" i="11"/>
  <c r="H25" i="11"/>
  <c r="I25" i="11"/>
  <c r="B25" i="11"/>
  <c r="G27" i="11"/>
  <c r="F27" i="11"/>
  <c r="D27" i="11"/>
  <c r="I44" i="4"/>
  <c r="I43" i="4"/>
  <c r="I42" i="4"/>
  <c r="I41" i="4"/>
  <c r="I40" i="4"/>
  <c r="I39" i="4"/>
  <c r="I38" i="4"/>
  <c r="D33" i="4"/>
  <c r="C44" i="4"/>
  <c r="D44" i="4"/>
  <c r="E44" i="4"/>
  <c r="F44" i="4"/>
  <c r="G44" i="4"/>
  <c r="B44" i="4"/>
  <c r="C26" i="4"/>
  <c r="D26" i="4"/>
  <c r="E26" i="4"/>
  <c r="F26" i="4"/>
  <c r="G26" i="4"/>
  <c r="H26" i="4"/>
  <c r="I26" i="4"/>
  <c r="B26" i="4"/>
  <c r="C9" i="4"/>
  <c r="D9" i="4"/>
  <c r="E9" i="4"/>
  <c r="F9" i="4"/>
  <c r="G9" i="4"/>
  <c r="H9" i="4"/>
  <c r="I9" i="4"/>
  <c r="B9" i="4"/>
  <c r="I24" i="10"/>
  <c r="I25" i="10" s="1"/>
  <c r="H24" i="10"/>
  <c r="H25" i="10" s="1"/>
  <c r="G24" i="10"/>
  <c r="G25" i="10" s="1"/>
  <c r="F24" i="10"/>
  <c r="F25" i="10" s="1"/>
  <c r="E24" i="10"/>
  <c r="E25" i="10" s="1"/>
  <c r="D24" i="10"/>
  <c r="D25" i="10" s="1"/>
  <c r="C24" i="10"/>
  <c r="B24" i="10"/>
  <c r="I23" i="10"/>
  <c r="H23" i="10"/>
  <c r="G23" i="10"/>
  <c r="F23" i="10"/>
  <c r="E23" i="10"/>
  <c r="D23" i="10"/>
  <c r="C23" i="10"/>
  <c r="B23" i="10"/>
  <c r="C43" i="4"/>
  <c r="D43" i="4"/>
  <c r="E43" i="4"/>
  <c r="F43" i="4"/>
  <c r="G43" i="4"/>
  <c r="B43" i="4"/>
  <c r="C25" i="4"/>
  <c r="D25" i="4"/>
  <c r="E25" i="4"/>
  <c r="F25" i="4"/>
  <c r="G25" i="4"/>
  <c r="H25" i="4"/>
  <c r="I25" i="4"/>
  <c r="B25" i="4"/>
  <c r="C8" i="4"/>
  <c r="D8" i="4"/>
  <c r="E8" i="4"/>
  <c r="F8" i="4"/>
  <c r="G8" i="4"/>
  <c r="H8" i="4"/>
  <c r="I8" i="4"/>
  <c r="B8" i="4"/>
  <c r="I26" i="9"/>
  <c r="I25" i="9"/>
  <c r="H25" i="9"/>
  <c r="H26" i="9" s="1"/>
  <c r="G25" i="9"/>
  <c r="G26" i="9" s="1"/>
  <c r="F25" i="9"/>
  <c r="F26" i="9" s="1"/>
  <c r="E25" i="9"/>
  <c r="E26" i="9" s="1"/>
  <c r="D25" i="9"/>
  <c r="D26" i="9" s="1"/>
  <c r="C25" i="9"/>
  <c r="B25" i="9"/>
  <c r="I24" i="9"/>
  <c r="H24" i="9"/>
  <c r="G24" i="9"/>
  <c r="F24" i="9"/>
  <c r="E24" i="9"/>
  <c r="D24" i="9"/>
  <c r="C24" i="9"/>
  <c r="B24" i="9"/>
  <c r="C42" i="4"/>
  <c r="D42" i="4"/>
  <c r="E42" i="4"/>
  <c r="F42" i="4"/>
  <c r="G42" i="4"/>
  <c r="B42" i="4"/>
  <c r="C24" i="4"/>
  <c r="D24" i="4"/>
  <c r="E24" i="4"/>
  <c r="F24" i="4"/>
  <c r="G24" i="4"/>
  <c r="H24" i="4"/>
  <c r="I24" i="4"/>
  <c r="B24" i="4"/>
  <c r="C7" i="4"/>
  <c r="D7" i="4"/>
  <c r="E7" i="4"/>
  <c r="F7" i="4"/>
  <c r="G7" i="4"/>
  <c r="H7" i="4"/>
  <c r="I7" i="4"/>
  <c r="B7" i="4"/>
  <c r="C25" i="7"/>
  <c r="D25" i="7"/>
  <c r="E25" i="7"/>
  <c r="F25" i="7"/>
  <c r="G25" i="7"/>
  <c r="H25" i="7"/>
  <c r="I25" i="7"/>
  <c r="I26" i="7" s="1"/>
  <c r="B25" i="7"/>
  <c r="C24" i="7"/>
  <c r="D24" i="7"/>
  <c r="E24" i="7"/>
  <c r="F24" i="7"/>
  <c r="G24" i="7"/>
  <c r="H24" i="7"/>
  <c r="I24" i="7"/>
  <c r="B24" i="7"/>
  <c r="H26" i="7"/>
  <c r="G26" i="7"/>
  <c r="F26" i="7"/>
  <c r="E26" i="7"/>
  <c r="D26" i="7"/>
  <c r="C41" i="4"/>
  <c r="D41" i="4"/>
  <c r="E41" i="4"/>
  <c r="F41" i="4"/>
  <c r="G41" i="4"/>
  <c r="B41" i="4"/>
  <c r="C23" i="4"/>
  <c r="D23" i="4"/>
  <c r="E23" i="4"/>
  <c r="F23" i="4"/>
  <c r="G23" i="4"/>
  <c r="H23" i="4"/>
  <c r="I23" i="4"/>
  <c r="B23" i="4"/>
  <c r="C6" i="4"/>
  <c r="D6" i="4"/>
  <c r="E6" i="4"/>
  <c r="F6" i="4"/>
  <c r="G6" i="4"/>
  <c r="H6" i="4"/>
  <c r="I6" i="4"/>
  <c r="B6" i="4"/>
  <c r="C22" i="6"/>
  <c r="D22" i="6"/>
  <c r="E22" i="6"/>
  <c r="E23" i="6" s="1"/>
  <c r="F22" i="6"/>
  <c r="F23" i="6" s="1"/>
  <c r="G22" i="6"/>
  <c r="G23" i="6" s="1"/>
  <c r="H22" i="6"/>
  <c r="I22" i="6"/>
  <c r="I23" i="6" s="1"/>
  <c r="B22" i="6"/>
  <c r="C21" i="6"/>
  <c r="D21" i="6"/>
  <c r="E21" i="6"/>
  <c r="F21" i="6"/>
  <c r="G21" i="6"/>
  <c r="H21" i="6"/>
  <c r="I21" i="6"/>
  <c r="B21" i="6"/>
  <c r="H23" i="6"/>
  <c r="D23" i="6"/>
  <c r="C40" i="4"/>
  <c r="D40" i="4"/>
  <c r="E40" i="4"/>
  <c r="F40" i="4"/>
  <c r="G40" i="4"/>
  <c r="B40" i="4"/>
  <c r="C22" i="4"/>
  <c r="D22" i="4"/>
  <c r="E22" i="4"/>
  <c r="F22" i="4"/>
  <c r="G22" i="4"/>
  <c r="H22" i="4"/>
  <c r="I22" i="4"/>
  <c r="B22" i="4"/>
  <c r="C5" i="4"/>
  <c r="D5" i="4"/>
  <c r="E5" i="4"/>
  <c r="F5" i="4"/>
  <c r="G5" i="4"/>
  <c r="H5" i="4"/>
  <c r="I5" i="4"/>
  <c r="B5" i="4"/>
  <c r="C27" i="5"/>
  <c r="D27" i="5"/>
  <c r="E27" i="5"/>
  <c r="F27" i="5"/>
  <c r="G27" i="5"/>
  <c r="H27" i="5"/>
  <c r="I27" i="5"/>
  <c r="B27" i="5"/>
  <c r="C26" i="5"/>
  <c r="D26" i="5"/>
  <c r="E26" i="5"/>
  <c r="F26" i="5"/>
  <c r="G26" i="5"/>
  <c r="H26" i="5"/>
  <c r="I26" i="5"/>
  <c r="B26" i="5"/>
  <c r="I28" i="5"/>
  <c r="H28" i="5"/>
  <c r="G28" i="5"/>
  <c r="F28" i="5"/>
  <c r="E28" i="5"/>
  <c r="D28" i="5"/>
  <c r="E32" i="4"/>
  <c r="C39" i="4"/>
  <c r="D39" i="4"/>
  <c r="E39" i="4"/>
  <c r="F39" i="4"/>
  <c r="G39" i="4"/>
  <c r="B39" i="4"/>
  <c r="C38" i="4"/>
  <c r="D38" i="4"/>
  <c r="E38" i="4"/>
  <c r="F38" i="4"/>
  <c r="F50" i="4" s="1"/>
  <c r="G38" i="4"/>
  <c r="B38" i="4"/>
  <c r="C21" i="4"/>
  <c r="D21" i="4"/>
  <c r="E21" i="4"/>
  <c r="F21" i="4"/>
  <c r="G21" i="4"/>
  <c r="H21" i="4"/>
  <c r="I21" i="4"/>
  <c r="B21" i="4"/>
  <c r="C20" i="4"/>
  <c r="C32" i="4" s="1"/>
  <c r="D20" i="4"/>
  <c r="D32" i="4" s="1"/>
  <c r="E20" i="4"/>
  <c r="E33" i="4" s="1"/>
  <c r="F20" i="4"/>
  <c r="F33" i="4" s="1"/>
  <c r="G20" i="4"/>
  <c r="H20" i="4"/>
  <c r="I20" i="4"/>
  <c r="B20" i="4"/>
  <c r="C4" i="4"/>
  <c r="D4" i="4"/>
  <c r="E4" i="4"/>
  <c r="F4" i="4"/>
  <c r="G4" i="4"/>
  <c r="H4" i="4"/>
  <c r="I4" i="4"/>
  <c r="B4" i="4"/>
  <c r="E3" i="4"/>
  <c r="F3" i="4"/>
  <c r="G3" i="4"/>
  <c r="H3" i="4"/>
  <c r="I3" i="4"/>
  <c r="D3" i="4"/>
  <c r="C3" i="4"/>
  <c r="B3" i="4"/>
  <c r="B15" i="4" s="1"/>
  <c r="C21" i="1"/>
  <c r="D21" i="1"/>
  <c r="E21" i="1"/>
  <c r="E22" i="1" s="1"/>
  <c r="F21" i="1"/>
  <c r="F22" i="1" s="1"/>
  <c r="G21" i="1"/>
  <c r="H21" i="1"/>
  <c r="I21" i="1"/>
  <c r="I22" i="1" s="1"/>
  <c r="B21" i="1"/>
  <c r="H22" i="1"/>
  <c r="G22" i="1"/>
  <c r="D22" i="1"/>
  <c r="I26" i="3"/>
  <c r="H26" i="3"/>
  <c r="G26" i="3"/>
  <c r="F26" i="3"/>
  <c r="E26" i="3"/>
  <c r="D26" i="3"/>
  <c r="C25" i="3"/>
  <c r="D25" i="3"/>
  <c r="E25" i="3"/>
  <c r="F25" i="3"/>
  <c r="G25" i="3"/>
  <c r="H25" i="3"/>
  <c r="I25" i="3"/>
  <c r="B25" i="3"/>
  <c r="I24" i="3"/>
  <c r="H24" i="3"/>
  <c r="G24" i="3"/>
  <c r="F24" i="3"/>
  <c r="E24" i="3"/>
  <c r="D24" i="3"/>
  <c r="C24" i="3"/>
  <c r="B24" i="3"/>
  <c r="C20" i="1"/>
  <c r="D20" i="1"/>
  <c r="E20" i="1"/>
  <c r="F20" i="1"/>
  <c r="G20" i="1"/>
  <c r="H20" i="1"/>
  <c r="I20" i="1"/>
  <c r="B20" i="1"/>
  <c r="B51" i="4" l="1"/>
  <c r="C51" i="4"/>
  <c r="F23" i="14"/>
  <c r="G23" i="14"/>
  <c r="H23" i="14"/>
  <c r="I23" i="14"/>
  <c r="E23" i="14"/>
  <c r="H33" i="4"/>
  <c r="I33" i="4"/>
  <c r="G50" i="4"/>
  <c r="E50" i="4"/>
  <c r="G32" i="4"/>
  <c r="E51" i="4" s="1"/>
  <c r="B32" i="4"/>
  <c r="C33" i="4"/>
  <c r="B50" i="4"/>
  <c r="C50" i="4"/>
  <c r="C15" i="4"/>
  <c r="D50" i="4"/>
  <c r="G33" i="4"/>
  <c r="I32" i="4"/>
  <c r="G51" i="4" s="1"/>
  <c r="H32" i="4"/>
  <c r="F51" i="4" s="1"/>
  <c r="F32" i="4"/>
  <c r="D51" i="4" s="1"/>
  <c r="H15" i="4"/>
  <c r="G15" i="4"/>
  <c r="F15" i="4"/>
  <c r="I15" i="4"/>
  <c r="E15" i="4"/>
  <c r="D15" i="4"/>
  <c r="I51" i="4" l="1"/>
</calcChain>
</file>

<file path=xl/sharedStrings.xml><?xml version="1.0" encoding="utf-8"?>
<sst xmlns="http://schemas.openxmlformats.org/spreadsheetml/2006/main" count="449" uniqueCount="261">
  <si>
    <t>Data</t>
  </si>
  <si>
    <t>Created</t>
  </si>
  <si>
    <t>Resolved</t>
  </si>
  <si>
    <t>Fernando</t>
  </si>
  <si>
    <t>Everton</t>
  </si>
  <si>
    <t>Rapahel</t>
  </si>
  <si>
    <t>Andre</t>
  </si>
  <si>
    <t>Não atribuídos</t>
  </si>
  <si>
    <t>Camille</t>
  </si>
  <si>
    <t>1 de fev. de 2023</t>
  </si>
  <si>
    <t>2 de fev. de 2023</t>
  </si>
  <si>
    <t>3 de fev. de 2023</t>
  </si>
  <si>
    <t>6 de fev. de 2023</t>
  </si>
  <si>
    <t>7 de fev. de 2023</t>
  </si>
  <si>
    <t>8 de fev. de 2023</t>
  </si>
  <si>
    <t>9 de fev. de 2023</t>
  </si>
  <si>
    <t>10 de fev. de 2023</t>
  </si>
  <si>
    <t>13 de fev. de 2023</t>
  </si>
  <si>
    <t>14 de fev. de 2023</t>
  </si>
  <si>
    <t>15 de fev. de 2023</t>
  </si>
  <si>
    <t>16 de fev. de 2023</t>
  </si>
  <si>
    <t>17 de fev. de 2023</t>
  </si>
  <si>
    <t>22 de fev. de 2023</t>
  </si>
  <si>
    <t>23 de fev. de 2023</t>
  </si>
  <si>
    <t>24 de fev. de 2023</t>
  </si>
  <si>
    <t>27 de fev. de 2023</t>
  </si>
  <si>
    <t>28 de fev. de 2023</t>
  </si>
  <si>
    <t>segunda-feira, 2 de janeiro de 2023</t>
  </si>
  <si>
    <t>terça-feira, 3 de janeiro de 2023</t>
  </si>
  <si>
    <t>quarta-feira, 4 de janeiro de 2023</t>
  </si>
  <si>
    <t>quinta-feira, 5 de janeiro de 2023</t>
  </si>
  <si>
    <t>sexta-feira, 6 de janeiro de 2023</t>
  </si>
  <si>
    <t>segunda-feira, 9 de janeiro de 2023</t>
  </si>
  <si>
    <t>terça-feira, 10 de janeiro de 2023</t>
  </si>
  <si>
    <t>quarta-feira, 11 de janeiro de 2023</t>
  </si>
  <si>
    <t>quinta-feira, 12 de janeiro de 2023</t>
  </si>
  <si>
    <t>sexta-feira, 13 de janeiro de 2023</t>
  </si>
  <si>
    <t>segunda-feira, 16 de janeiro de 2023</t>
  </si>
  <si>
    <t>terça-feira, 17 de janeiro de 2023</t>
  </si>
  <si>
    <t>quarta-feira, 18 de janeiro de 2023</t>
  </si>
  <si>
    <t>quinta-feira, 19 de janeiro de 2023</t>
  </si>
  <si>
    <t>sexta-feira, 20 de janeiro de 2023</t>
  </si>
  <si>
    <t>segunda-feira, 23 de janeiro de 2023</t>
  </si>
  <si>
    <t>terça-feira, 24 de janeiro de 2023</t>
  </si>
  <si>
    <t>quarta-feira, 25 de janeiro de 2023</t>
  </si>
  <si>
    <t>quinta-feira, 26 de janeiro de 2023</t>
  </si>
  <si>
    <t>sexta-feira, 27 de janeiro de 2023</t>
  </si>
  <si>
    <t>segunda-feira, 30 de janeiro de 2023</t>
  </si>
  <si>
    <t>terça-feira, 31 de janeiro de 2023</t>
  </si>
  <si>
    <t>Somatórias</t>
  </si>
  <si>
    <t>Porcentagem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</si>
  <si>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</si>
  <si>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</si>
  <si>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</si>
  <si>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</si>
  <si>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</si>
  <si>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</si>
  <si>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</si>
  <si>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</si>
  <si>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</si>
  <si>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</si>
  <si>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</si>
  <si>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</si>
  <si>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</si>
  <si>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</si>
  <si>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1 de mar.</t>
  </si>
  <si>
    <t>2 de mar.</t>
  </si>
  <si>
    <t>3 de mar.</t>
  </si>
  <si>
    <t>6 de mar.</t>
  </si>
  <si>
    <t>7 de mar.</t>
  </si>
  <si>
    <t>8 de mar.</t>
  </si>
  <si>
    <t>9 de mar.</t>
  </si>
  <si>
    <t>10 de mar.</t>
  </si>
  <si>
    <t>13 de mar.</t>
  </si>
  <si>
    <t>14 de mar.</t>
  </si>
  <si>
    <t>15 de mar.</t>
  </si>
  <si>
    <t>16 de mar.</t>
  </si>
  <si>
    <t>17 de mar.</t>
  </si>
  <si>
    <t>18 de mar.</t>
  </si>
  <si>
    <t>20 de mar.</t>
  </si>
  <si>
    <t>21 de mar.</t>
  </si>
  <si>
    <t>22 de mar.</t>
  </si>
  <si>
    <t>23 de mar.</t>
  </si>
  <si>
    <t>24 de mar.</t>
  </si>
  <si>
    <t>27 de mar.</t>
  </si>
  <si>
    <t>28 de mar.</t>
  </si>
  <si>
    <t>29 de mar.</t>
  </si>
  <si>
    <t>30 de mar.</t>
  </si>
  <si>
    <t>31 de mar.</t>
  </si>
  <si>
    <t>3 de abr. de 2023</t>
  </si>
  <si>
    <t>4 de abr. de 2023</t>
  </si>
  <si>
    <t>5 de abr. de 2023</t>
  </si>
  <si>
    <t>6 de abr. de 2023</t>
  </si>
  <si>
    <t>10 de abr. de 2023</t>
  </si>
  <si>
    <t>11 de abr. de 2023</t>
  </si>
  <si>
    <t>12 de abr. de 2023</t>
  </si>
  <si>
    <t>13 de abr. de 2023</t>
  </si>
  <si>
    <t>14 de abr. de 2023</t>
  </si>
  <si>
    <t>17 de abr. de 2023</t>
  </si>
  <si>
    <t>18 de abr. de 2023</t>
  </si>
  <si>
    <t>19 de abr. de 2023</t>
  </si>
  <si>
    <t>20 de abr. de 2023</t>
  </si>
  <si>
    <t>24 de abr. de 2023</t>
  </si>
  <si>
    <t>25 de abr. de 2023</t>
  </si>
  <si>
    <t>26 de abr. de 2023</t>
  </si>
  <si>
    <t>27 de abr. de 2023</t>
  </si>
  <si>
    <t>28 de abr. de 2023</t>
  </si>
  <si>
    <t>29 de abr. de 2023</t>
  </si>
  <si>
    <t>2 de mai.</t>
  </si>
  <si>
    <t>3 de mai.</t>
  </si>
  <si>
    <t>4 de mai.</t>
  </si>
  <si>
    <t>5 de mai.</t>
  </si>
  <si>
    <t>8 de mai.</t>
  </si>
  <si>
    <t>9 de mai.</t>
  </si>
  <si>
    <t>10 de mai.</t>
  </si>
  <si>
    <t>11 de mai.</t>
  </si>
  <si>
    <t>12 de mai.</t>
  </si>
  <si>
    <t>15 de mai.</t>
  </si>
  <si>
    <t>16 de mai.</t>
  </si>
  <si>
    <t>17 de mai.</t>
  </si>
  <si>
    <t>18 de mai.</t>
  </si>
  <si>
    <t>19 de mai.</t>
  </si>
  <si>
    <t>22 de mai.</t>
  </si>
  <si>
    <t>23 de mai.</t>
  </si>
  <si>
    <t>24 de mai.</t>
  </si>
  <si>
    <t>25 de mai.</t>
  </si>
  <si>
    <t>26 de mai.</t>
  </si>
  <si>
    <t>29 de mai.</t>
  </si>
  <si>
    <t>30 de mai.</t>
  </si>
  <si>
    <t>31 de mai.</t>
  </si>
  <si>
    <t>Raphael</t>
  </si>
  <si>
    <t>segunda-feira, 3 de julho de 2023</t>
  </si>
  <si>
    <t>terça-feira, 4 de julho de 2023</t>
  </si>
  <si>
    <t>quarta-feira, 5 de julho de 2023</t>
  </si>
  <si>
    <t>quinta-feira, 6 de julho de 2023</t>
  </si>
  <si>
    <t>sexta-feira, 7 de julho de 2023</t>
  </si>
  <si>
    <t>segunda-feira, 10 de julho de 2023</t>
  </si>
  <si>
    <t>terça-feira, 11 de julho de 2023</t>
  </si>
  <si>
    <t>quarta-feira, 12 de julho de 2023</t>
  </si>
  <si>
    <t>quinta-feira, 13 de julho de 2023</t>
  </si>
  <si>
    <t>sexta-feira, 14 de julho de 2023</t>
  </si>
  <si>
    <t>segunda-feira, 17 de julho de 2023</t>
  </si>
  <si>
    <t>terça-feira, 18 de julho de 2023</t>
  </si>
  <si>
    <t>quarta-feira, 19 de julho de 2023</t>
  </si>
  <si>
    <t>quinta-feira, 20 de julho de 2023</t>
  </si>
  <si>
    <t>sexta-feira, 21 de julho de 2023</t>
  </si>
  <si>
    <t>segunda-feira, 24 de julho de 2023</t>
  </si>
  <si>
    <t>terça-feira, 25 de julho de 2023</t>
  </si>
  <si>
    <t>quarta-feira, 26 de julho de 2023</t>
  </si>
  <si>
    <t>quinta-feira, 27 de julho de 2023</t>
  </si>
  <si>
    <t>sexta-feira, 28 de julho de 2023</t>
  </si>
  <si>
    <t>segunda-feira, 31 de julho de 2023</t>
  </si>
  <si>
    <t>Médias Diárias</t>
  </si>
  <si>
    <t>terça-feira, 1 de agosto de 2023</t>
  </si>
  <si>
    <t>quarta-feira, 2 de agosto de 2023</t>
  </si>
  <si>
    <t>quinta-feira, 3 de agosto de 2023</t>
  </si>
  <si>
    <t>sexta-feira, 4 de agosto de 2023</t>
  </si>
  <si>
    <t>segunda-feira, 7 de agosto de 2023</t>
  </si>
  <si>
    <t>terça-feira, 8 de agosto de 2023</t>
  </si>
  <si>
    <t>quarta-feira, 9 de agosto de 2023</t>
  </si>
  <si>
    <t>quinta-feira, 10 de agosto de 2023</t>
  </si>
  <si>
    <t>sexta-feira, 11 de agosto de 2023</t>
  </si>
  <si>
    <t>segunda-feira, 14 de agosto de 2023</t>
  </si>
  <si>
    <t>terça-feira, 15 de agosto de 2023</t>
  </si>
  <si>
    <t>quarta-feira, 16 de agosto de 2023</t>
  </si>
  <si>
    <t>quinta-feira, 17 de agosto de 2023</t>
  </si>
  <si>
    <t>sexta-feira, 18 de agosto de 2023</t>
  </si>
  <si>
    <t>segunda-feira, 21 de agosto de 2023</t>
  </si>
  <si>
    <t>terça-feira, 22 de agosto de 2023</t>
  </si>
  <si>
    <t>quarta-feira, 23 de agosto de 2023</t>
  </si>
  <si>
    <t>quinta-feira, 24 de agosto de 2023</t>
  </si>
  <si>
    <t>sexta-feira, 25 de agosto de 2023</t>
  </si>
  <si>
    <t>segunda-feira, 28 de agosto de 2023</t>
  </si>
  <si>
    <t>terça-feira, 29 de agosto de 2023</t>
  </si>
  <si>
    <t>quarta-feira, 30 de agosto de 2023</t>
  </si>
  <si>
    <t>quinta-feira, 31 de agosto de 2023</t>
  </si>
  <si>
    <t>Jean</t>
  </si>
  <si>
    <t>sexta-feira, 1 de setembro de 2023</t>
  </si>
  <si>
    <t>segunda-feira, 4 de setembro de 2023</t>
  </si>
  <si>
    <t>terça-feira, 5 de setembro de 2023</t>
  </si>
  <si>
    <t>quarta-feira, 6 de setembro de 2023</t>
  </si>
  <si>
    <t>sexta-feira, 8 de setembro de 2023</t>
  </si>
  <si>
    <t>segunda-feira, 11 de setembro de 2023</t>
  </si>
  <si>
    <t>terça-feira, 12 de setembro de 2023</t>
  </si>
  <si>
    <t>quarta-feira, 13 de setembro de 2023</t>
  </si>
  <si>
    <t>quinta-feira, 14 de setembro de 2023</t>
  </si>
  <si>
    <t>sexta-feira, 15 de setembro de 2023</t>
  </si>
  <si>
    <t>segunda-feira, 18 de setembro de 2023</t>
  </si>
  <si>
    <t>terça-feira, 19 de setembro de 2023</t>
  </si>
  <si>
    <t>quarta-feira, 20 de setembro de 2023</t>
  </si>
  <si>
    <t>quinta-feira, 21 de setembro de 2023</t>
  </si>
  <si>
    <t>sexta-feira, 22 de setembro de 2023</t>
  </si>
  <si>
    <t>segunda-feira, 25 de setembro de 2023</t>
  </si>
  <si>
    <t>terça-feira, 26 de setembro de 2023</t>
  </si>
  <si>
    <t>quarta-feira, 27 de setembro de 2023</t>
  </si>
  <si>
    <t>quinta-feira, 28 de setembro de 2023</t>
  </si>
  <si>
    <t>sexta-feira, 29 de setembro de 2023</t>
  </si>
  <si>
    <t>segunda-feira, 2 de outubro de 2023</t>
  </si>
  <si>
    <t>terça-feira, 3 de outubro de 2023</t>
  </si>
  <si>
    <t>quarta-feira, 4 de outubro de 2023</t>
  </si>
  <si>
    <t>quinta-feira, 5 de outubro de 2023</t>
  </si>
  <si>
    <t>sexta-feira, 6 de outubro de 2023</t>
  </si>
  <si>
    <t>segunda-feira, 9 de outubro de 2023</t>
  </si>
  <si>
    <t>terça-feira, 10 de outubro de 2023</t>
  </si>
  <si>
    <t>quarta-feira, 11 de outubro de 2023</t>
  </si>
  <si>
    <t>quinta-feira, 12 de outubro de 2023</t>
  </si>
  <si>
    <t>sexta-feira, 13 de outubro de 2023</t>
  </si>
  <si>
    <t>segunda-feira, 16 de outubro de 2023</t>
  </si>
  <si>
    <t>terça-feira, 17 de outubro de 2023</t>
  </si>
  <si>
    <t>quarta-feira, 18 de outubro de 2023</t>
  </si>
  <si>
    <t>quinta-feira, 19 de outubro de 2023</t>
  </si>
  <si>
    <t>sexta-feira, 20 de outubro de 2023</t>
  </si>
  <si>
    <t>segunda-feira, 23 de outubro de 2023</t>
  </si>
  <si>
    <t>terça-feira, 24 de outubro de 2023</t>
  </si>
  <si>
    <t>quarta-feira, 25 de outubro de 2023</t>
  </si>
  <si>
    <t>quinta-feira, 26 de outubro de 2023</t>
  </si>
  <si>
    <t>sexta-feira, 27 de outubro de 2023</t>
  </si>
  <si>
    <t>segunda-feira, 30 de outubro de 2023</t>
  </si>
  <si>
    <t>terça-feira, 31 de outubro de 2023</t>
  </si>
  <si>
    <t>quarta-feira, 1 de novembro de 2023</t>
  </si>
  <si>
    <t>sexta-feira, 3 de novembro de 2023</t>
  </si>
  <si>
    <t>segunda-feira, 6 de novembro de 2023</t>
  </si>
  <si>
    <t>terça-feira, 7 de novembro de 2023</t>
  </si>
  <si>
    <t>quarta-feira, 8 de novembro de 2023</t>
  </si>
  <si>
    <t>quinta-feira, 9 de novembro de 2023</t>
  </si>
  <si>
    <t>sexta-feira, 10 de novembro de 2023</t>
  </si>
  <si>
    <t>segunda-feira, 13 de novembro de 2023</t>
  </si>
  <si>
    <t>terça-feira, 14 de novembro de 2023</t>
  </si>
  <si>
    <t>quinta-feira, 16 de novembro de 2023</t>
  </si>
  <si>
    <t>sexta-feira, 17 de novembro de 2023</t>
  </si>
  <si>
    <t>terça-feira, 21 de novembro de 2023</t>
  </si>
  <si>
    <t>quarta-feira, 22 de novembro de 2023</t>
  </si>
  <si>
    <t>quinta-feira, 23 de novembro de 2023</t>
  </si>
  <si>
    <t>sexta-feira, 24 de novembro de 2023</t>
  </si>
  <si>
    <t>segunda-feira, 27 de novembro de 2023</t>
  </si>
  <si>
    <t>terça-feira, 28 de novembro de 2023</t>
  </si>
  <si>
    <t>quarta-feira, 29 de novembro de 2023</t>
  </si>
  <si>
    <t>quinta-feira, 30 de novembro de 2023</t>
  </si>
  <si>
    <t>MÉDIA MENSAL</t>
  </si>
  <si>
    <t>MÉDIA DIÁRIA</t>
  </si>
  <si>
    <t>TOTAL NO ANO</t>
  </si>
  <si>
    <t>sexta-feira, 1 de dezembro de 2023</t>
  </si>
  <si>
    <t>segunda-feira, 4 de dezembro de 2023</t>
  </si>
  <si>
    <t>terça-feira, 5 de dezembro de 2023</t>
  </si>
  <si>
    <t>quarta-feira, 6 de dezembro de 2023</t>
  </si>
  <si>
    <t>quinta-feira, 7 de dezembro de 2023</t>
  </si>
  <si>
    <t>sexta-feira, 8 de dezembro de 2023</t>
  </si>
  <si>
    <t>segunda-feira, 11 de dezembro de 2023</t>
  </si>
  <si>
    <t>terça-feira, 12 de dezembro de 2023</t>
  </si>
  <si>
    <t>quarta-feira, 13 de dezembro de 2023</t>
  </si>
  <si>
    <t>quinta-feira, 14 de dezembro de 2023</t>
  </si>
  <si>
    <t>sexta-feira, 15 de dezembro de 2023</t>
  </si>
  <si>
    <t>segunda-feira, 18 de dezembro de 2023</t>
  </si>
  <si>
    <t>terça-feira, 19 de dezembro de 2023</t>
  </si>
  <si>
    <t>quarta-feira, 20 de dezembro de 2023</t>
  </si>
  <si>
    <t>quinta-feira, 21 de dezembro de 2023</t>
  </si>
  <si>
    <t>sexta-feira, 22 de dezembro de 2023</t>
  </si>
  <si>
    <t>terça-feira, 26 de dezembro de 2023</t>
  </si>
  <si>
    <t>quarta-feira, 27 de dezembro de 2023</t>
  </si>
  <si>
    <t>quinta-feira, 28 de dezembro de 2023</t>
  </si>
  <si>
    <t>sexta-feira, 29 de dezembro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</si>
</sst>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1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9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b/>
      <sz val="14"/>
      <color theme="9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Segoe UI"/>
      <family val="2"/>
    </font>
    <font>
      <b/>
      <sz val="9"/>
      <name val="Segoe UI"/>
      <family val="2"/>
    </font>
    <font>
      <sz val="9"/>
      <name val="Segoe UI"/>
      <family val="2"/>
    </font>
    <font>
      <sz val="9"/>
      <name val="Segoe UI"/>
      <family val="2"/>
    </font>
    <font>
      <sz val="9"/>
      <name val="Segoe UI"/>
      <family val="2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2" fontId="1" fillId="0" borderId="1" xfId="0" applyNumberFormat="1" applyFont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0" xfId="0" applyFont="1"/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/>
    </xf>
    <xf numFmtId="0" fontId="13" fillId="0" borderId="1" xfId="0" applyFont="1" applyBorder="1" applyAlignment="1">
      <alignment horizontal="center"/>
    </xf>
    <xf numFmtId="2" fontId="1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2" fontId="13" fillId="0" borderId="10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2" fontId="1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2" borderId="0" xfId="0" applyFont="1" applyFill="1"/>
    <xf numFmtId="0" fontId="15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4" fillId="0" borderId="11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0" fillId="2" borderId="1" xfId="0" applyFill="1" applyBorder="1"/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2" borderId="4" xfId="0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center" wrapText="1"/>
    </xf>
    <xf numFmtId="2" fontId="1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12" fillId="2" borderId="0" xfId="0" applyFont="1" applyFill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top" wrapText="1"/>
    </xf>
    <xf numFmtId="0" fontId="19" fillId="2" borderId="1" xfId="0" applyFont="1" applyFill="1" applyBorder="1" applyAlignment="1">
      <alignment horizontal="center" vertical="top" wrapText="1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2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Médias Diárias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Resumo!$A$3</c:f>
              <c:strCache>
                <c:ptCount val="1"/>
                <c:pt idx="0">
                  <c:v>Janeiro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Resumo!$B$3:$J$3</c:f>
              <c:numCache>
                <c:formatCode>0.00</c:formatCode>
                <c:ptCount val="9"/>
                <c:pt idx="0">
                  <c:v>9.2272727272727266</c:v>
                </c:pt>
                <c:pt idx="1">
                  <c:v>8.545454545454545</c:v>
                </c:pt>
                <c:pt idx="2">
                  <c:v>0.86363636363636365</c:v>
                </c:pt>
                <c:pt idx="3">
                  <c:v>0.5</c:v>
                </c:pt>
                <c:pt idx="4">
                  <c:v>1.5454545454545454</c:v>
                </c:pt>
                <c:pt idx="5">
                  <c:v>5.2727272727272725</c:v>
                </c:pt>
                <c:pt idx="6">
                  <c:v>0</c:v>
                </c:pt>
                <c:pt idx="7">
                  <c:v>0.36363636363636365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2-49D8-9AD2-F1DE84205734}"/>
            </c:ext>
          </c:extLst>
        </c:ser>
        <c:ser>
          <c:idx val="1"/>
          <c:order val="1"/>
          <c:tx>
            <c:strRef>
              <c:f>Resumo!$A$4</c:f>
              <c:strCache>
                <c:ptCount val="1"/>
                <c:pt idx="0">
                  <c:v>Fevereiro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Resumo!$B$4:$J$4</c:f>
              <c:numCache>
                <c:formatCode>0.00</c:formatCode>
                <c:ptCount val="9"/>
                <c:pt idx="0">
                  <c:v>10.666666666666666</c:v>
                </c:pt>
                <c:pt idx="1">
                  <c:v>10.611111111111111</c:v>
                </c:pt>
                <c:pt idx="2">
                  <c:v>0.94444444444444442</c:v>
                </c:pt>
                <c:pt idx="3">
                  <c:v>1.7222222222222223</c:v>
                </c:pt>
                <c:pt idx="4">
                  <c:v>2.3333333333333335</c:v>
                </c:pt>
                <c:pt idx="5">
                  <c:v>5.333333333333333</c:v>
                </c:pt>
                <c:pt idx="6">
                  <c:v>0</c:v>
                </c:pt>
                <c:pt idx="7">
                  <c:v>0.27777777777777779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92-49D8-9AD2-F1DE84205734}"/>
            </c:ext>
          </c:extLst>
        </c:ser>
        <c:ser>
          <c:idx val="2"/>
          <c:order val="2"/>
          <c:tx>
            <c:strRef>
              <c:f>Resumo!$A$5</c:f>
              <c:strCache>
                <c:ptCount val="1"/>
                <c:pt idx="0">
                  <c:v>Março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Resumo!$B$5:$J$5</c:f>
              <c:numCache>
                <c:formatCode>0.00</c:formatCode>
                <c:ptCount val="9"/>
                <c:pt idx="0">
                  <c:v>11.958333333333334</c:v>
                </c:pt>
                <c:pt idx="1">
                  <c:v>12.166666666666666</c:v>
                </c:pt>
                <c:pt idx="2">
                  <c:v>1.0833333333333333</c:v>
                </c:pt>
                <c:pt idx="3">
                  <c:v>1.8333333333333333</c:v>
                </c:pt>
                <c:pt idx="4">
                  <c:v>2.3333333333333335</c:v>
                </c:pt>
                <c:pt idx="5">
                  <c:v>5.791666666666667</c:v>
                </c:pt>
                <c:pt idx="6">
                  <c:v>0</c:v>
                </c:pt>
                <c:pt idx="7">
                  <c:v>1.125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92-49D8-9AD2-F1DE84205734}"/>
            </c:ext>
          </c:extLst>
        </c:ser>
        <c:ser>
          <c:idx val="3"/>
          <c:order val="3"/>
          <c:tx>
            <c:strRef>
              <c:f>Resumo!$A$6</c:f>
              <c:strCache>
                <c:ptCount val="1"/>
                <c:pt idx="0">
                  <c:v>Abril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Resumo!$B$6:$J$6</c:f>
              <c:numCache>
                <c:formatCode>0.00</c:formatCode>
                <c:ptCount val="9"/>
                <c:pt idx="0">
                  <c:v>11</c:v>
                </c:pt>
                <c:pt idx="1">
                  <c:v>11.157894736842104</c:v>
                </c:pt>
                <c:pt idx="2">
                  <c:v>0.73684210526315785</c:v>
                </c:pt>
                <c:pt idx="3">
                  <c:v>2.2105263157894739</c:v>
                </c:pt>
                <c:pt idx="4">
                  <c:v>1.368421052631579</c:v>
                </c:pt>
                <c:pt idx="5">
                  <c:v>5.3684210526315788</c:v>
                </c:pt>
                <c:pt idx="6">
                  <c:v>0</c:v>
                </c:pt>
                <c:pt idx="7">
                  <c:v>1.4736842105263157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92-49D8-9AD2-F1DE84205734}"/>
            </c:ext>
          </c:extLst>
        </c:ser>
        <c:ser>
          <c:idx val="4"/>
          <c:order val="4"/>
          <c:tx>
            <c:strRef>
              <c:f>Resumo!$A$7</c:f>
              <c:strCache>
                <c:ptCount val="1"/>
                <c:pt idx="0">
                  <c:v>Maio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Resumo!$B$7:$J$7</c:f>
              <c:numCache>
                <c:formatCode>0.00</c:formatCode>
                <c:ptCount val="9"/>
                <c:pt idx="0">
                  <c:v>11.818181818181818</c:v>
                </c:pt>
                <c:pt idx="1">
                  <c:v>12.136363636363637</c:v>
                </c:pt>
                <c:pt idx="2">
                  <c:v>0.36363636363636365</c:v>
                </c:pt>
                <c:pt idx="3">
                  <c:v>1.7272727272727273</c:v>
                </c:pt>
                <c:pt idx="4">
                  <c:v>2.0454545454545454</c:v>
                </c:pt>
                <c:pt idx="5">
                  <c:v>5.4090909090909092</c:v>
                </c:pt>
                <c:pt idx="6">
                  <c:v>0</c:v>
                </c:pt>
                <c:pt idx="7">
                  <c:v>2.5909090909090908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92-49D8-9AD2-F1DE84205734}"/>
            </c:ext>
          </c:extLst>
        </c:ser>
        <c:ser>
          <c:idx val="5"/>
          <c:order val="5"/>
          <c:tx>
            <c:strRef>
              <c:f>Resumo!$A$8</c:f>
              <c:strCache>
                <c:ptCount val="1"/>
                <c:pt idx="0">
                  <c:v>Junho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Resumo!$B$8:$J$8</c:f>
              <c:numCache>
                <c:formatCode>0.00</c:formatCode>
                <c:ptCount val="9"/>
                <c:pt idx="0">
                  <c:v>12.590909090909092</c:v>
                </c:pt>
                <c:pt idx="1">
                  <c:v>12.045454545454545</c:v>
                </c:pt>
                <c:pt idx="2">
                  <c:v>1</c:v>
                </c:pt>
                <c:pt idx="3">
                  <c:v>2.1363636363636362</c:v>
                </c:pt>
                <c:pt idx="4">
                  <c:v>1.9545454545454546</c:v>
                </c:pt>
                <c:pt idx="5">
                  <c:v>5.1818181818181817</c:v>
                </c:pt>
                <c:pt idx="6">
                  <c:v>0</c:v>
                </c:pt>
                <c:pt idx="7">
                  <c:v>1.7727272727272727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92-49D8-9AD2-F1DE84205734}"/>
            </c:ext>
          </c:extLst>
        </c:ser>
        <c:ser>
          <c:idx val="6"/>
          <c:order val="6"/>
          <c:tx>
            <c:strRef>
              <c:f>Resumo!$A$9</c:f>
              <c:strCache>
                <c:ptCount val="1"/>
                <c:pt idx="0">
                  <c:v>Julho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Resumo!$B$9:$J$9</c:f>
              <c:numCache>
                <c:formatCode>0.00</c:formatCode>
                <c:ptCount val="9"/>
                <c:pt idx="0">
                  <c:v>8.6666666666666661</c:v>
                </c:pt>
                <c:pt idx="1">
                  <c:v>8.6190476190476186</c:v>
                </c:pt>
                <c:pt idx="2">
                  <c:v>0.38095238095238093</c:v>
                </c:pt>
                <c:pt idx="3">
                  <c:v>1.1428571428571428</c:v>
                </c:pt>
                <c:pt idx="4">
                  <c:v>2</c:v>
                </c:pt>
                <c:pt idx="5">
                  <c:v>4.0952380952380949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92-49D8-9AD2-F1DE84205734}"/>
            </c:ext>
          </c:extLst>
        </c:ser>
        <c:ser>
          <c:idx val="7"/>
          <c:order val="7"/>
          <c:tx>
            <c:strRef>
              <c:f>Resumo!$A$10</c:f>
              <c:strCache>
                <c:ptCount val="1"/>
                <c:pt idx="0">
                  <c:v>Agosto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Resumo!$B$10:$J$10</c:f>
              <c:numCache>
                <c:formatCode>0.00</c:formatCode>
                <c:ptCount val="9"/>
                <c:pt idx="0">
                  <c:v>10.086956521739131</c:v>
                </c:pt>
                <c:pt idx="1">
                  <c:v>9.3913043478260878</c:v>
                </c:pt>
                <c:pt idx="2">
                  <c:v>0.47826086956521741</c:v>
                </c:pt>
                <c:pt idx="3">
                  <c:v>1.7826086956521738</c:v>
                </c:pt>
                <c:pt idx="4">
                  <c:v>2.3913043478260869</c:v>
                </c:pt>
                <c:pt idx="5">
                  <c:v>2.3913043478260869</c:v>
                </c:pt>
                <c:pt idx="6">
                  <c:v>0</c:v>
                </c:pt>
                <c:pt idx="7">
                  <c:v>2.347826086956522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92-49D8-9AD2-F1DE84205734}"/>
            </c:ext>
          </c:extLst>
        </c:ser>
        <c:ser>
          <c:idx val="8"/>
          <c:order val="8"/>
          <c:tx>
            <c:strRef>
              <c:f>Resumo!$A$11</c:f>
              <c:strCache>
                <c:ptCount val="1"/>
                <c:pt idx="0">
                  <c:v>Setembro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Resumo!$B$11:$J$11</c:f>
              <c:numCache>
                <c:formatCode>0.00</c:formatCode>
                <c:ptCount val="9"/>
                <c:pt idx="0">
                  <c:v>9.25</c:v>
                </c:pt>
                <c:pt idx="1">
                  <c:v>9.0500000000000007</c:v>
                </c:pt>
                <c:pt idx="2">
                  <c:v>0.75</c:v>
                </c:pt>
                <c:pt idx="3">
                  <c:v>1</c:v>
                </c:pt>
                <c:pt idx="4">
                  <c:v>2.25</c:v>
                </c:pt>
                <c:pt idx="5">
                  <c:v>3.55</c:v>
                </c:pt>
                <c:pt idx="6">
                  <c:v>0</c:v>
                </c:pt>
                <c:pt idx="7">
                  <c:v>1.45</c:v>
                </c:pt>
                <c:pt idx="8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E-4BA4-916B-36C1E49F6015}"/>
            </c:ext>
          </c:extLst>
        </c:ser>
        <c:ser>
          <c:idx val="9"/>
          <c:order val="9"/>
          <c:tx>
            <c:strRef>
              <c:f>Resumo!$A$12</c:f>
              <c:strCache>
                <c:ptCount val="1"/>
                <c:pt idx="0">
                  <c:v>Outubro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Resumo!$B$12:$J$12</c:f>
              <c:numCache>
                <c:formatCode>0.00</c:formatCode>
                <c:ptCount val="9"/>
                <c:pt idx="0">
                  <c:v>7.5454545454545459</c:v>
                </c:pt>
                <c:pt idx="1">
                  <c:v>7.6818181818181817</c:v>
                </c:pt>
                <c:pt idx="2">
                  <c:v>0</c:v>
                </c:pt>
                <c:pt idx="3">
                  <c:v>0.86363636363636365</c:v>
                </c:pt>
                <c:pt idx="4">
                  <c:v>2.7272727272727271</c:v>
                </c:pt>
                <c:pt idx="5">
                  <c:v>1.25</c:v>
                </c:pt>
                <c:pt idx="6">
                  <c:v>0</c:v>
                </c:pt>
                <c:pt idx="7">
                  <c:v>1.4545454545454546</c:v>
                </c:pt>
                <c:pt idx="8">
                  <c:v>1.9545454545454546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4E-4BA4-916B-36C1E49F6015}"/>
            </c:ext>
          </c:extLst>
        </c:ser>
        <c:ser>
          <c:idx val="10"/>
          <c:order val="10"/>
          <c:tx>
            <c:strRef>
              <c:f>Resumo!$A$13</c:f>
              <c:strCache>
                <c:ptCount val="1"/>
                <c:pt idx="0">
                  <c:v>Novembro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Resumo!$B$13:$J$13</c:f>
              <c:numCache>
                <c:formatCode>0.00</c:formatCode>
                <c:ptCount val="9"/>
                <c:pt idx="0">
                  <c:v>9</c:v>
                </c:pt>
                <c:pt idx="1">
                  <c:v>8.4210526315789469</c:v>
                </c:pt>
                <c:pt idx="2">
                  <c:v>0</c:v>
                </c:pt>
                <c:pt idx="3">
                  <c:v>1</c:v>
                </c:pt>
                <c:pt idx="4">
                  <c:v>1.8947368421052631</c:v>
                </c:pt>
                <c:pt idx="5">
                  <c:v>2.5263157894736841</c:v>
                </c:pt>
                <c:pt idx="6">
                  <c:v>0</c:v>
                </c:pt>
                <c:pt idx="7">
                  <c:v>1.0526315789473684</c:v>
                </c:pt>
                <c:pt idx="8">
                  <c:v>1.9473684210526316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4E-4BA4-916B-36C1E49F6015}"/>
            </c:ext>
          </c:extLst>
        </c:ser>
        <c:ser>
          <c:idx val="11"/>
          <c:order val="11"/>
          <c:tx>
            <c:strRef>
              <c:f>Resumo!$A$14</c:f>
              <c:strCache>
                <c:ptCount val="1"/>
                <c:pt idx="0">
                  <c:v>Dezembro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Resumo!$B$14:$J$14</c:f>
              <c:numCache>
                <c:formatCode>0.00</c:formatCode>
                <c:ptCount val="9"/>
                <c:pt idx="0">
                  <c:v>10.3</c:v>
                </c:pt>
                <c:pt idx="1">
                  <c:v>9.5500000000000007</c:v>
                </c:pt>
                <c:pt idx="2">
                  <c:v>0</c:v>
                </c:pt>
                <c:pt idx="3">
                  <c:v>1.1000000000000001</c:v>
                </c:pt>
                <c:pt idx="4">
                  <c:v>1.5</c:v>
                </c:pt>
                <c:pt idx="5">
                  <c:v>2.85</c:v>
                </c:pt>
                <c:pt idx="6">
                  <c:v>0</c:v>
                </c:pt>
                <c:pt idx="7">
                  <c:v>1.9</c:v>
                </c:pt>
                <c:pt idx="8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4E-4BA4-916B-36C1E49F6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4554928"/>
        <c:axId val="1610805536"/>
      </c:barChart>
      <c:catAx>
        <c:axId val="207455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805536"/>
        <c:crosses val="autoZero"/>
        <c:auto val="1"/>
        <c:lblAlgn val="ctr"/>
        <c:lblOffset val="100"/>
        <c:noMultiLvlLbl val="0"/>
      </c:catAx>
      <c:valAx>
        <c:axId val="16108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455492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Somatórias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Resumo!$A$20</c:f>
              <c:strCache>
                <c:ptCount val="1"/>
                <c:pt idx="0">
                  <c:v>Janeiro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Resumo!$B$20:$J$20</c:f>
              <c:numCache>
                <c:formatCode>General</c:formatCode>
                <c:ptCount val="9"/>
                <c:pt idx="0">
                  <c:v>203</c:v>
                </c:pt>
                <c:pt idx="1">
                  <c:v>188</c:v>
                </c:pt>
                <c:pt idx="2">
                  <c:v>19</c:v>
                </c:pt>
                <c:pt idx="3">
                  <c:v>11</c:v>
                </c:pt>
                <c:pt idx="4">
                  <c:v>34</c:v>
                </c:pt>
                <c:pt idx="5">
                  <c:v>116</c:v>
                </c:pt>
                <c:pt idx="6">
                  <c:v>0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6-4626-89AA-59B6AC729920}"/>
            </c:ext>
          </c:extLst>
        </c:ser>
        <c:ser>
          <c:idx val="1"/>
          <c:order val="1"/>
          <c:tx>
            <c:strRef>
              <c:f>Resumo!$A$21</c:f>
              <c:strCache>
                <c:ptCount val="1"/>
                <c:pt idx="0">
                  <c:v>Fevereiro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Resumo!$B$21:$J$21</c:f>
              <c:numCache>
                <c:formatCode>General</c:formatCode>
                <c:ptCount val="9"/>
                <c:pt idx="0">
                  <c:v>192</c:v>
                </c:pt>
                <c:pt idx="1">
                  <c:v>191</c:v>
                </c:pt>
                <c:pt idx="2">
                  <c:v>17</c:v>
                </c:pt>
                <c:pt idx="3">
                  <c:v>31</c:v>
                </c:pt>
                <c:pt idx="4">
                  <c:v>42</c:v>
                </c:pt>
                <c:pt idx="5">
                  <c:v>96</c:v>
                </c:pt>
                <c:pt idx="6">
                  <c:v>0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F6-4626-89AA-59B6AC729920}"/>
            </c:ext>
          </c:extLst>
        </c:ser>
        <c:ser>
          <c:idx val="2"/>
          <c:order val="2"/>
          <c:tx>
            <c:strRef>
              <c:f>Resumo!$A$22</c:f>
              <c:strCache>
                <c:ptCount val="1"/>
                <c:pt idx="0">
                  <c:v>Março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Resumo!$B$22:$J$22</c:f>
              <c:numCache>
                <c:formatCode>General</c:formatCode>
                <c:ptCount val="9"/>
                <c:pt idx="0">
                  <c:v>287</c:v>
                </c:pt>
                <c:pt idx="1">
                  <c:v>292</c:v>
                </c:pt>
                <c:pt idx="2">
                  <c:v>26</c:v>
                </c:pt>
                <c:pt idx="3">
                  <c:v>44</c:v>
                </c:pt>
                <c:pt idx="4">
                  <c:v>56</c:v>
                </c:pt>
                <c:pt idx="5">
                  <c:v>139</c:v>
                </c:pt>
                <c:pt idx="6">
                  <c:v>0</c:v>
                </c:pt>
                <c:pt idx="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F6-4626-89AA-59B6AC729920}"/>
            </c:ext>
          </c:extLst>
        </c:ser>
        <c:ser>
          <c:idx val="3"/>
          <c:order val="3"/>
          <c:tx>
            <c:strRef>
              <c:f>Resumo!$A$23</c:f>
              <c:strCache>
                <c:ptCount val="1"/>
                <c:pt idx="0">
                  <c:v>Abril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Resumo!$B$23:$J$23</c:f>
              <c:numCache>
                <c:formatCode>0</c:formatCode>
                <c:ptCount val="9"/>
                <c:pt idx="0">
                  <c:v>209</c:v>
                </c:pt>
                <c:pt idx="1">
                  <c:v>212</c:v>
                </c:pt>
                <c:pt idx="2">
                  <c:v>14</c:v>
                </c:pt>
                <c:pt idx="3">
                  <c:v>42</c:v>
                </c:pt>
                <c:pt idx="4">
                  <c:v>26</c:v>
                </c:pt>
                <c:pt idx="5">
                  <c:v>102</c:v>
                </c:pt>
                <c:pt idx="6">
                  <c:v>0</c:v>
                </c:pt>
                <c:pt idx="7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F6-4626-89AA-59B6AC729920}"/>
            </c:ext>
          </c:extLst>
        </c:ser>
        <c:ser>
          <c:idx val="4"/>
          <c:order val="4"/>
          <c:tx>
            <c:strRef>
              <c:f>Resumo!$A$24</c:f>
              <c:strCache>
                <c:ptCount val="1"/>
                <c:pt idx="0">
                  <c:v>Maio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Resumo!$B$24:$J$24</c:f>
              <c:numCache>
                <c:formatCode>0</c:formatCode>
                <c:ptCount val="9"/>
                <c:pt idx="0">
                  <c:v>260</c:v>
                </c:pt>
                <c:pt idx="1">
                  <c:v>267</c:v>
                </c:pt>
                <c:pt idx="2">
                  <c:v>8</c:v>
                </c:pt>
                <c:pt idx="3">
                  <c:v>38</c:v>
                </c:pt>
                <c:pt idx="4">
                  <c:v>45</c:v>
                </c:pt>
                <c:pt idx="5">
                  <c:v>119</c:v>
                </c:pt>
                <c:pt idx="6">
                  <c:v>0</c:v>
                </c:pt>
                <c:pt idx="7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F6-4626-89AA-59B6AC729920}"/>
            </c:ext>
          </c:extLst>
        </c:ser>
        <c:ser>
          <c:idx val="5"/>
          <c:order val="5"/>
          <c:tx>
            <c:strRef>
              <c:f>Resumo!$A$25</c:f>
              <c:strCache>
                <c:ptCount val="1"/>
                <c:pt idx="0">
                  <c:v>Junho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Resumo!$B$25:$J$25</c:f>
              <c:numCache>
                <c:formatCode>0</c:formatCode>
                <c:ptCount val="9"/>
                <c:pt idx="0">
                  <c:v>277</c:v>
                </c:pt>
                <c:pt idx="1">
                  <c:v>265</c:v>
                </c:pt>
                <c:pt idx="2">
                  <c:v>22</c:v>
                </c:pt>
                <c:pt idx="3">
                  <c:v>47</c:v>
                </c:pt>
                <c:pt idx="4">
                  <c:v>43</c:v>
                </c:pt>
                <c:pt idx="5">
                  <c:v>114</c:v>
                </c:pt>
                <c:pt idx="6">
                  <c:v>0</c:v>
                </c:pt>
                <c:pt idx="7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F6-4626-89AA-59B6AC729920}"/>
            </c:ext>
          </c:extLst>
        </c:ser>
        <c:ser>
          <c:idx val="6"/>
          <c:order val="6"/>
          <c:tx>
            <c:strRef>
              <c:f>Resumo!$A$26</c:f>
              <c:strCache>
                <c:ptCount val="1"/>
                <c:pt idx="0">
                  <c:v>Julho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Resumo!$B$26:$J$26</c:f>
              <c:numCache>
                <c:formatCode>0</c:formatCode>
                <c:ptCount val="9"/>
                <c:pt idx="0">
                  <c:v>182</c:v>
                </c:pt>
                <c:pt idx="1">
                  <c:v>181</c:v>
                </c:pt>
                <c:pt idx="2">
                  <c:v>8</c:v>
                </c:pt>
                <c:pt idx="3">
                  <c:v>24</c:v>
                </c:pt>
                <c:pt idx="4">
                  <c:v>42</c:v>
                </c:pt>
                <c:pt idx="5">
                  <c:v>86</c:v>
                </c:pt>
                <c:pt idx="6">
                  <c:v>0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F6-4626-89AA-59B6AC729920}"/>
            </c:ext>
          </c:extLst>
        </c:ser>
        <c:ser>
          <c:idx val="7"/>
          <c:order val="7"/>
          <c:tx>
            <c:strRef>
              <c:f>Resumo!$A$27</c:f>
              <c:strCache>
                <c:ptCount val="1"/>
                <c:pt idx="0">
                  <c:v>Agosto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Resumo!$B$27:$J$27</c:f>
              <c:numCache>
                <c:formatCode>General</c:formatCode>
                <c:ptCount val="9"/>
                <c:pt idx="0">
                  <c:v>232</c:v>
                </c:pt>
                <c:pt idx="1">
                  <c:v>216</c:v>
                </c:pt>
                <c:pt idx="2">
                  <c:v>11</c:v>
                </c:pt>
                <c:pt idx="3">
                  <c:v>41</c:v>
                </c:pt>
                <c:pt idx="4">
                  <c:v>55</c:v>
                </c:pt>
                <c:pt idx="5">
                  <c:v>55</c:v>
                </c:pt>
                <c:pt idx="6">
                  <c:v>0</c:v>
                </c:pt>
                <c:pt idx="7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F6-4626-89AA-59B6AC729920}"/>
            </c:ext>
          </c:extLst>
        </c:ser>
        <c:ser>
          <c:idx val="8"/>
          <c:order val="8"/>
          <c:tx>
            <c:strRef>
              <c:f>Resumo!$A$28</c:f>
              <c:strCache>
                <c:ptCount val="1"/>
                <c:pt idx="0">
                  <c:v>Setembro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Resumo!$B$28:$J$28</c:f>
              <c:numCache>
                <c:formatCode>General</c:formatCode>
                <c:ptCount val="9"/>
                <c:pt idx="0">
                  <c:v>185</c:v>
                </c:pt>
                <c:pt idx="1">
                  <c:v>181</c:v>
                </c:pt>
                <c:pt idx="2">
                  <c:v>15</c:v>
                </c:pt>
                <c:pt idx="3">
                  <c:v>20</c:v>
                </c:pt>
                <c:pt idx="4">
                  <c:v>45</c:v>
                </c:pt>
                <c:pt idx="5">
                  <c:v>71</c:v>
                </c:pt>
                <c:pt idx="6">
                  <c:v>0</c:v>
                </c:pt>
                <c:pt idx="7">
                  <c:v>29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7-4424-BF01-B130C8DC79E5}"/>
            </c:ext>
          </c:extLst>
        </c:ser>
        <c:ser>
          <c:idx val="9"/>
          <c:order val="9"/>
          <c:tx>
            <c:strRef>
              <c:f>Resumo!$A$29</c:f>
              <c:strCache>
                <c:ptCount val="1"/>
                <c:pt idx="0">
                  <c:v>Outubro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Resumo!$B$29:$J$29</c:f>
              <c:numCache>
                <c:formatCode>General</c:formatCode>
                <c:ptCount val="9"/>
                <c:pt idx="0">
                  <c:v>166</c:v>
                </c:pt>
                <c:pt idx="1">
                  <c:v>169</c:v>
                </c:pt>
                <c:pt idx="2">
                  <c:v>0</c:v>
                </c:pt>
                <c:pt idx="3">
                  <c:v>19</c:v>
                </c:pt>
                <c:pt idx="4">
                  <c:v>60</c:v>
                </c:pt>
                <c:pt idx="5">
                  <c:v>15</c:v>
                </c:pt>
                <c:pt idx="6">
                  <c:v>0</c:v>
                </c:pt>
                <c:pt idx="7">
                  <c:v>32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7-4424-BF01-B130C8DC79E5}"/>
            </c:ext>
          </c:extLst>
        </c:ser>
        <c:ser>
          <c:idx val="10"/>
          <c:order val="10"/>
          <c:tx>
            <c:strRef>
              <c:f>Resumo!$A$30</c:f>
              <c:strCache>
                <c:ptCount val="1"/>
                <c:pt idx="0">
                  <c:v>Novembro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Resumo!$B$30:$J$30</c:f>
              <c:numCache>
                <c:formatCode>General</c:formatCode>
                <c:ptCount val="9"/>
                <c:pt idx="0">
                  <c:v>171</c:v>
                </c:pt>
                <c:pt idx="1">
                  <c:v>160</c:v>
                </c:pt>
                <c:pt idx="2">
                  <c:v>0</c:v>
                </c:pt>
                <c:pt idx="3">
                  <c:v>19</c:v>
                </c:pt>
                <c:pt idx="4">
                  <c:v>36</c:v>
                </c:pt>
                <c:pt idx="5">
                  <c:v>48</c:v>
                </c:pt>
                <c:pt idx="6">
                  <c:v>0</c:v>
                </c:pt>
                <c:pt idx="7">
                  <c:v>20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87-4424-BF01-B130C8DC79E5}"/>
            </c:ext>
          </c:extLst>
        </c:ser>
        <c:ser>
          <c:idx val="11"/>
          <c:order val="11"/>
          <c:tx>
            <c:strRef>
              <c:f>Resumo!$A$31</c:f>
              <c:strCache>
                <c:ptCount val="1"/>
                <c:pt idx="0">
                  <c:v>Dezembro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Created</c:v>
                </c:pt>
                <c:pt idx="1">
                  <c:v>Resolved</c:v>
                </c:pt>
                <c:pt idx="2">
                  <c:v>Fernando</c:v>
                </c:pt>
                <c:pt idx="3">
                  <c:v>Everton</c:v>
                </c:pt>
                <c:pt idx="4">
                  <c:v>Raphael</c:v>
                </c:pt>
                <c:pt idx="5">
                  <c:v>Andre</c:v>
                </c:pt>
                <c:pt idx="6">
                  <c:v>Não atribuídos</c:v>
                </c:pt>
                <c:pt idx="7">
                  <c:v>Camille</c:v>
                </c:pt>
                <c:pt idx="8">
                  <c:v>Jean</c:v>
                </c:pt>
              </c:strCache>
            </c:strRef>
          </c:cat>
          <c:val>
            <c:numRef>
              <c:f>Resumo!$B$31:$J$31</c:f>
              <c:numCache>
                <c:formatCode>General</c:formatCode>
                <c:ptCount val="9"/>
                <c:pt idx="0">
                  <c:v>206</c:v>
                </c:pt>
                <c:pt idx="1">
                  <c:v>191</c:v>
                </c:pt>
                <c:pt idx="2">
                  <c:v>0</c:v>
                </c:pt>
                <c:pt idx="3">
                  <c:v>22</c:v>
                </c:pt>
                <c:pt idx="4">
                  <c:v>30</c:v>
                </c:pt>
                <c:pt idx="5">
                  <c:v>57</c:v>
                </c:pt>
                <c:pt idx="6">
                  <c:v>0</c:v>
                </c:pt>
                <c:pt idx="7">
                  <c:v>38</c:v>
                </c:pt>
                <c:pt idx="8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87-4424-BF01-B130C8DC7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19254016"/>
        <c:axId val="1450976080"/>
      </c:barChart>
      <c:catAx>
        <c:axId val="211925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0976080"/>
        <c:crosses val="autoZero"/>
        <c:auto val="1"/>
        <c:lblAlgn val="ctr"/>
        <c:lblOffset val="100"/>
        <c:noMultiLvlLbl val="0"/>
      </c:catAx>
      <c:valAx>
        <c:axId val="145097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925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Porcentagem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Resumo!$B$37</c:f>
              <c:strCache>
                <c:ptCount val="1"/>
                <c:pt idx="0">
                  <c:v>Fernando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Resumo!$A$38:$A$49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Resumo!$B$38:$B$49</c:f>
              <c:numCache>
                <c:formatCode>0.00</c:formatCode>
                <c:ptCount val="12"/>
                <c:pt idx="0">
                  <c:v>10.106382978723405</c:v>
                </c:pt>
                <c:pt idx="1">
                  <c:v>8.9005235602094235</c:v>
                </c:pt>
                <c:pt idx="2">
                  <c:v>8.9041095890410951</c:v>
                </c:pt>
                <c:pt idx="3">
                  <c:v>6.6037735849056602</c:v>
                </c:pt>
                <c:pt idx="4">
                  <c:v>2.9962546816479403</c:v>
                </c:pt>
                <c:pt idx="5">
                  <c:v>8.3018867924528301</c:v>
                </c:pt>
                <c:pt idx="6">
                  <c:v>4.4198895027624312</c:v>
                </c:pt>
                <c:pt idx="7">
                  <c:v>5.0925925925925926</c:v>
                </c:pt>
                <c:pt idx="8">
                  <c:v>8.2872928176795586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A-48D3-A744-4B9093EC6A3C}"/>
            </c:ext>
          </c:extLst>
        </c:ser>
        <c:ser>
          <c:idx val="1"/>
          <c:order val="1"/>
          <c:tx>
            <c:strRef>
              <c:f>Resumo!$C$37</c:f>
              <c:strCache>
                <c:ptCount val="1"/>
                <c:pt idx="0">
                  <c:v>Everton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Resumo!$A$38:$A$49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Resumo!$C$38:$C$49</c:f>
              <c:numCache>
                <c:formatCode>0.00</c:formatCode>
                <c:ptCount val="12"/>
                <c:pt idx="0">
                  <c:v>5.8510638297872344</c:v>
                </c:pt>
                <c:pt idx="1">
                  <c:v>16.230366492146597</c:v>
                </c:pt>
                <c:pt idx="2">
                  <c:v>15.068493150684931</c:v>
                </c:pt>
                <c:pt idx="3">
                  <c:v>19.811320754716981</c:v>
                </c:pt>
                <c:pt idx="4">
                  <c:v>14.232209737827715</c:v>
                </c:pt>
                <c:pt idx="5">
                  <c:v>17.735849056603772</c:v>
                </c:pt>
                <c:pt idx="6">
                  <c:v>13.259668508287293</c:v>
                </c:pt>
                <c:pt idx="7">
                  <c:v>18.981481481481481</c:v>
                </c:pt>
                <c:pt idx="8">
                  <c:v>11.049723756906078</c:v>
                </c:pt>
                <c:pt idx="9">
                  <c:v>11.242603550295858</c:v>
                </c:pt>
                <c:pt idx="10">
                  <c:v>11.875</c:v>
                </c:pt>
                <c:pt idx="11">
                  <c:v>11.518324607329843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A-48D3-A744-4B9093EC6A3C}"/>
            </c:ext>
          </c:extLst>
        </c:ser>
        <c:ser>
          <c:idx val="2"/>
          <c:order val="2"/>
          <c:tx>
            <c:strRef>
              <c:f>Resumo!$D$37</c:f>
              <c:strCache>
                <c:ptCount val="1"/>
                <c:pt idx="0">
                  <c:v>Raphael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Resumo!$A$38:$A$49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Resumo!$D$38:$D$49</c:f>
              <c:numCache>
                <c:formatCode>0.00</c:formatCode>
                <c:ptCount val="12"/>
                <c:pt idx="0">
                  <c:v>18.085106382978722</c:v>
                </c:pt>
                <c:pt idx="1">
                  <c:v>21.98952879581152</c:v>
                </c:pt>
                <c:pt idx="2">
                  <c:v>19.17808219178082</c:v>
                </c:pt>
                <c:pt idx="3">
                  <c:v>12.264150943396226</c:v>
                </c:pt>
                <c:pt idx="4">
                  <c:v>16.853932584269664</c:v>
                </c:pt>
                <c:pt idx="5">
                  <c:v>16.226415094339622</c:v>
                </c:pt>
                <c:pt idx="6">
                  <c:v>23.204419889502763</c:v>
                </c:pt>
                <c:pt idx="7">
                  <c:v>25.462962962962962</c:v>
                </c:pt>
                <c:pt idx="8">
                  <c:v>24.861878453038674</c:v>
                </c:pt>
                <c:pt idx="9">
                  <c:v>35.502958579881657</c:v>
                </c:pt>
                <c:pt idx="10">
                  <c:v>22.5</c:v>
                </c:pt>
                <c:pt idx="11">
                  <c:v>15.706806282722512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6A-48D3-A744-4B9093EC6A3C}"/>
            </c:ext>
          </c:extLst>
        </c:ser>
        <c:ser>
          <c:idx val="3"/>
          <c:order val="3"/>
          <c:tx>
            <c:strRef>
              <c:f>Resumo!$E$37</c:f>
              <c:strCache>
                <c:ptCount val="1"/>
                <c:pt idx="0">
                  <c:v>Andre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Resumo!$A$38:$A$49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Resumo!$E$38:$E$49</c:f>
              <c:numCache>
                <c:formatCode>0.00</c:formatCode>
                <c:ptCount val="12"/>
                <c:pt idx="0">
                  <c:v>61.702127659574465</c:v>
                </c:pt>
                <c:pt idx="1">
                  <c:v>50.261780104712045</c:v>
                </c:pt>
                <c:pt idx="2">
                  <c:v>47.602739726027394</c:v>
                </c:pt>
                <c:pt idx="3">
                  <c:v>48.113207547169814</c:v>
                </c:pt>
                <c:pt idx="4">
                  <c:v>44.569288389513112</c:v>
                </c:pt>
                <c:pt idx="5">
                  <c:v>43.018867924528301</c:v>
                </c:pt>
                <c:pt idx="6">
                  <c:v>47.513812154696133</c:v>
                </c:pt>
                <c:pt idx="7">
                  <c:v>25.462962962962962</c:v>
                </c:pt>
                <c:pt idx="8">
                  <c:v>39.226519337016576</c:v>
                </c:pt>
                <c:pt idx="9">
                  <c:v>8.8757396449704142</c:v>
                </c:pt>
                <c:pt idx="10">
                  <c:v>30</c:v>
                </c:pt>
                <c:pt idx="11">
                  <c:v>29.842931937172775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6A-48D3-A744-4B9093EC6A3C}"/>
            </c:ext>
          </c:extLst>
        </c:ser>
        <c:ser>
          <c:idx val="4"/>
          <c:order val="4"/>
          <c:tx>
            <c:strRef>
              <c:f>Resumo!$F$37</c:f>
              <c:strCache>
                <c:ptCount val="1"/>
                <c:pt idx="0">
                  <c:v>Não atribuídos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Resumo!$A$38:$A$49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Resumo!$F$38:$F$49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6A-48D3-A744-4B9093EC6A3C}"/>
            </c:ext>
          </c:extLst>
        </c:ser>
        <c:ser>
          <c:idx val="5"/>
          <c:order val="5"/>
          <c:tx>
            <c:strRef>
              <c:f>Resumo!$G$37</c:f>
              <c:strCache>
                <c:ptCount val="1"/>
                <c:pt idx="0">
                  <c:v>Camille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Resumo!$A$38:$A$49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Resumo!$G$38:$G$49</c:f>
              <c:numCache>
                <c:formatCode>0.00</c:formatCode>
                <c:ptCount val="12"/>
                <c:pt idx="0">
                  <c:v>4.2553191489361701</c:v>
                </c:pt>
                <c:pt idx="1">
                  <c:v>2.6178010471204187</c:v>
                </c:pt>
                <c:pt idx="2">
                  <c:v>9.2465753424657535</c:v>
                </c:pt>
                <c:pt idx="3">
                  <c:v>13.20754716981132</c:v>
                </c:pt>
                <c:pt idx="4">
                  <c:v>21.348314606741575</c:v>
                </c:pt>
                <c:pt idx="5">
                  <c:v>14.716981132075471</c:v>
                </c:pt>
                <c:pt idx="6">
                  <c:v>11.602209944751381</c:v>
                </c:pt>
                <c:pt idx="7">
                  <c:v>25</c:v>
                </c:pt>
                <c:pt idx="8">
                  <c:v>16.022099447513813</c:v>
                </c:pt>
                <c:pt idx="9">
                  <c:v>18.934911242603551</c:v>
                </c:pt>
                <c:pt idx="10">
                  <c:v>12.5</c:v>
                </c:pt>
                <c:pt idx="11">
                  <c:v>19.895287958115183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6A-48D3-A744-4B9093EC6A3C}"/>
            </c:ext>
          </c:extLst>
        </c:ser>
        <c:ser>
          <c:idx val="6"/>
          <c:order val="6"/>
          <c:tx>
            <c:strRef>
              <c:f>Resumo!$H$37</c:f>
              <c:strCache>
                <c:ptCount val="1"/>
                <c:pt idx="0">
                  <c:v>Jean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Resumo!$A$38:$A$49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Resumo!$H$38:$H$49</c:f>
              <c:numCache>
                <c:formatCode>General</c:formatCode>
                <c:ptCount val="12"/>
                <c:pt idx="8" formatCode="0.00">
                  <c:v>0.5524861878453039</c:v>
                </c:pt>
                <c:pt idx="9" formatCode="0.00">
                  <c:v>25.443786982248522</c:v>
                </c:pt>
                <c:pt idx="10" formatCode="0.00">
                  <c:v>23.125</c:v>
                </c:pt>
                <c:pt idx="11" formatCode="0.00">
                  <c:v>23.036649214659686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E-42D6-9B43-150C8D9A3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5638736"/>
        <c:axId val="1222468496"/>
      </c:barChart>
      <c:catAx>
        <c:axId val="29563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2468496"/>
        <c:crosses val="autoZero"/>
        <c:auto val="1"/>
        <c:lblAlgn val="ctr"/>
        <c:lblOffset val="100"/>
        <c:noMultiLvlLbl val="0"/>
      </c:catAx>
      <c:valAx>
        <c:axId val="122246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5638736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0</xdr:row>
      <xdr:rowOff>9525</xdr:rowOff>
    </xdr:from>
    <xdr:to>
      <xdr:col>29</xdr:col>
      <xdr:colOff>594360</xdr:colOff>
      <xdr:row>15</xdr:row>
      <xdr:rowOff>200025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E9B4B5-C7F8-5BF2-CE65-4DF2842F9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66674</xdr:colOff>
      <xdr:row>16</xdr:row>
      <xdr:rowOff>95250</xdr:rowOff>
    </xdr:from>
    <xdr:to>
      <xdr:col>29</xdr:col>
      <xdr:colOff>579119</xdr:colOff>
      <xdr:row>32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EF9385-7BD3-0FAF-8B75-827CC61E5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66674</xdr:colOff>
      <xdr:row>34</xdr:row>
      <xdr:rowOff>2856</xdr:rowOff>
    </xdr:from>
    <xdr:to>
      <xdr:col>29</xdr:col>
      <xdr:colOff>563880</xdr:colOff>
      <xdr:row>52</xdr:row>
      <xdr:rowOff>133349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A63F21E-97F3-EE4B-A264-74120157C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1F56-E3BF-4111-A918-225C95477DB4}">
  <dimension ref="A1:AG77"/>
  <sheetViews>
    <sheetView tabSelected="1" workbookViewId="0">
      <selection sqref="A1:J1"/>
    </sheetView>
  </sheetViews>
  <sheetFormatPr defaultRowHeight="14.4" x14ac:dyDescent="0.3"/>
  <cols>
    <col min="1" max="1" width="20.6640625" style="21" customWidth="1"/>
    <col min="2" max="2" width="16.6640625" style="13" customWidth="1"/>
    <col min="3" max="3" width="15" style="13" customWidth="1"/>
    <col min="4" max="4" width="15.5546875" style="13" customWidth="1"/>
    <col min="5" max="5" width="15" style="13" customWidth="1"/>
    <col min="6" max="6" width="14.109375" style="13" customWidth="1"/>
    <col min="7" max="7" width="13.44140625" style="13" customWidth="1"/>
    <col min="8" max="8" width="16" style="13" customWidth="1"/>
    <col min="9" max="9" width="14.6640625" style="13" customWidth="1"/>
  </cols>
  <sheetData>
    <row r="1" spans="1:33" ht="21.6" thickBot="1" x14ac:dyDescent="0.45">
      <c r="A1" s="97" t="s">
        <v>152</v>
      </c>
      <c r="B1" s="98"/>
      <c r="C1" s="98"/>
      <c r="D1" s="97"/>
      <c r="E1" s="97"/>
      <c r="F1" s="97"/>
      <c r="G1" s="97"/>
      <c r="H1" s="97"/>
      <c r="I1" s="97"/>
      <c r="J1" s="97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</row>
    <row r="2" spans="1:33" x14ac:dyDescent="0.3">
      <c r="A2" s="62" t="s">
        <v>51</v>
      </c>
      <c r="B2" s="32" t="s">
        <v>1</v>
      </c>
      <c r="C2" s="33" t="s">
        <v>2</v>
      </c>
      <c r="D2" s="63" t="s">
        <v>3</v>
      </c>
      <c r="E2" s="64" t="s">
        <v>4</v>
      </c>
      <c r="F2" s="64" t="s">
        <v>130</v>
      </c>
      <c r="G2" s="64" t="s">
        <v>6</v>
      </c>
      <c r="H2" s="64" t="s">
        <v>7</v>
      </c>
      <c r="I2" s="64" t="s">
        <v>8</v>
      </c>
      <c r="J2" s="64" t="s">
        <v>176</v>
      </c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</row>
    <row r="3" spans="1:33" x14ac:dyDescent="0.3">
      <c r="A3" s="29" t="s">
        <v>52</v>
      </c>
      <c r="B3" s="34">
        <f>'Jan-23'!B24</f>
        <v>9.2272727272727266</v>
      </c>
      <c r="C3" s="35">
        <f>'Jan-23'!C24</f>
        <v>8.545454545454545</v>
      </c>
      <c r="D3" s="30">
        <f>'Jan-23'!D24</f>
        <v>0.86363636363636365</v>
      </c>
      <c r="E3" s="11">
        <f>'Jan-23'!E24</f>
        <v>0.5</v>
      </c>
      <c r="F3" s="11">
        <f>'Jan-23'!F24</f>
        <v>1.5454545454545454</v>
      </c>
      <c r="G3" s="11">
        <f>'Jan-23'!G24</f>
        <v>5.2727272727272725</v>
      </c>
      <c r="H3" s="11">
        <f>'Jan-23'!H24</f>
        <v>0</v>
      </c>
      <c r="I3" s="11">
        <f>'Jan-23'!I24</f>
        <v>0.36363636363636365</v>
      </c>
      <c r="J3" s="65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</row>
    <row r="4" spans="1:33" x14ac:dyDescent="0.3">
      <c r="A4" s="29" t="s">
        <v>53</v>
      </c>
      <c r="B4" s="34">
        <f>'Fev-23'!B20</f>
        <v>10.666666666666666</v>
      </c>
      <c r="C4" s="35">
        <f>'Fev-23'!C20</f>
        <v>10.611111111111111</v>
      </c>
      <c r="D4" s="30">
        <f>'Fev-23'!D20</f>
        <v>0.94444444444444442</v>
      </c>
      <c r="E4" s="11">
        <f>'Fev-23'!E20</f>
        <v>1.7222222222222223</v>
      </c>
      <c r="F4" s="11">
        <f>'Fev-23'!F20</f>
        <v>2.3333333333333335</v>
      </c>
      <c r="G4" s="11">
        <f>'Fev-23'!G20</f>
        <v>5.333333333333333</v>
      </c>
      <c r="H4" s="11">
        <f>'Fev-23'!H20</f>
        <v>0</v>
      </c>
      <c r="I4" s="11">
        <f>'Fev-23'!I20</f>
        <v>0.27777777777777779</v>
      </c>
      <c r="J4" s="65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</row>
    <row r="5" spans="1:33" x14ac:dyDescent="0.3">
      <c r="A5" s="29" t="s">
        <v>54</v>
      </c>
      <c r="B5" s="34">
        <f>'Mar-23'!B26</f>
        <v>11.958333333333334</v>
      </c>
      <c r="C5" s="35">
        <f>'Mar-23'!C26</f>
        <v>12.166666666666666</v>
      </c>
      <c r="D5" s="30">
        <f>'Mar-23'!D26</f>
        <v>1.0833333333333333</v>
      </c>
      <c r="E5" s="11">
        <f>'Mar-23'!E26</f>
        <v>1.8333333333333333</v>
      </c>
      <c r="F5" s="11">
        <f>'Mar-23'!F26</f>
        <v>2.3333333333333335</v>
      </c>
      <c r="G5" s="11">
        <f>'Mar-23'!G26</f>
        <v>5.791666666666667</v>
      </c>
      <c r="H5" s="11">
        <f>'Mar-23'!H26</f>
        <v>0</v>
      </c>
      <c r="I5" s="11">
        <f>'Mar-23'!I26</f>
        <v>1.125</v>
      </c>
      <c r="J5" s="65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</row>
    <row r="6" spans="1:33" x14ac:dyDescent="0.3">
      <c r="A6" s="29" t="s">
        <v>55</v>
      </c>
      <c r="B6" s="34">
        <f>'Abr-23'!B21</f>
        <v>11</v>
      </c>
      <c r="C6" s="35">
        <f>'Abr-23'!C21</f>
        <v>11.157894736842104</v>
      </c>
      <c r="D6" s="30">
        <f>'Abr-23'!D21</f>
        <v>0.73684210526315785</v>
      </c>
      <c r="E6" s="11">
        <f>'Abr-23'!E21</f>
        <v>2.2105263157894739</v>
      </c>
      <c r="F6" s="11">
        <f>'Abr-23'!F21</f>
        <v>1.368421052631579</v>
      </c>
      <c r="G6" s="11">
        <f>'Abr-23'!G21</f>
        <v>5.3684210526315788</v>
      </c>
      <c r="H6" s="11">
        <f>'Abr-23'!H21</f>
        <v>0</v>
      </c>
      <c r="I6" s="11">
        <f>'Abr-23'!I21</f>
        <v>1.4736842105263157</v>
      </c>
      <c r="J6" s="65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</row>
    <row r="7" spans="1:33" x14ac:dyDescent="0.3">
      <c r="A7" s="29" t="s">
        <v>56</v>
      </c>
      <c r="B7" s="34">
        <f>'Mai-23'!B24</f>
        <v>11.818181818181818</v>
      </c>
      <c r="C7" s="35">
        <f>'Mai-23'!C24</f>
        <v>12.136363636363637</v>
      </c>
      <c r="D7" s="30">
        <f>'Mai-23'!D24</f>
        <v>0.36363636363636365</v>
      </c>
      <c r="E7" s="11">
        <f>'Mai-23'!E24</f>
        <v>1.7272727272727273</v>
      </c>
      <c r="F7" s="11">
        <f>'Mai-23'!F24</f>
        <v>2.0454545454545454</v>
      </c>
      <c r="G7" s="11">
        <f>'Mai-23'!G24</f>
        <v>5.4090909090909092</v>
      </c>
      <c r="H7" s="11">
        <f>'Mai-23'!H24</f>
        <v>0</v>
      </c>
      <c r="I7" s="11">
        <f>'Mai-23'!I24</f>
        <v>2.5909090909090908</v>
      </c>
      <c r="J7" s="65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</row>
    <row r="8" spans="1:33" x14ac:dyDescent="0.3">
      <c r="A8" s="29" t="s">
        <v>57</v>
      </c>
      <c r="B8" s="34">
        <f>'Jun-23'!B24</f>
        <v>12.590909090909092</v>
      </c>
      <c r="C8" s="35">
        <f>'Jun-23'!C24</f>
        <v>12.045454545454545</v>
      </c>
      <c r="D8" s="30">
        <f>'Jun-23'!D24</f>
        <v>1</v>
      </c>
      <c r="E8" s="11">
        <f>'Jun-23'!E24</f>
        <v>2.1363636363636362</v>
      </c>
      <c r="F8" s="11">
        <f>'Jun-23'!F24</f>
        <v>1.9545454545454546</v>
      </c>
      <c r="G8" s="11">
        <f>'Jun-23'!G24</f>
        <v>5.1818181818181817</v>
      </c>
      <c r="H8" s="11">
        <f>'Jun-23'!H24</f>
        <v>0</v>
      </c>
      <c r="I8" s="11">
        <f>'Jun-23'!I24</f>
        <v>1.7727272727272727</v>
      </c>
      <c r="J8" s="65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</row>
    <row r="9" spans="1:33" x14ac:dyDescent="0.3">
      <c r="A9" s="29" t="s">
        <v>58</v>
      </c>
      <c r="B9" s="34">
        <f>'Jul-23'!B23</f>
        <v>8.6666666666666661</v>
      </c>
      <c r="C9" s="35">
        <f>'Jul-23'!C23</f>
        <v>8.6190476190476186</v>
      </c>
      <c r="D9" s="30">
        <f>'Jul-23'!D23</f>
        <v>0.38095238095238093</v>
      </c>
      <c r="E9" s="11">
        <f>'Jul-23'!E23</f>
        <v>1.1428571428571428</v>
      </c>
      <c r="F9" s="11">
        <f>'Jul-23'!F23</f>
        <v>2</v>
      </c>
      <c r="G9" s="11">
        <f>'Jul-23'!G23</f>
        <v>4.0952380952380949</v>
      </c>
      <c r="H9" s="11">
        <f>'Jul-23'!H23</f>
        <v>0</v>
      </c>
      <c r="I9" s="11">
        <f>'Jul-23'!I23</f>
        <v>1</v>
      </c>
      <c r="J9" s="65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</row>
    <row r="10" spans="1:33" x14ac:dyDescent="0.3">
      <c r="A10" s="29" t="s">
        <v>59</v>
      </c>
      <c r="B10" s="66">
        <f>'Ago-23'!B25</f>
        <v>10.086956521739131</v>
      </c>
      <c r="C10" s="67">
        <f>'Ago-23'!C25</f>
        <v>9.3913043478260878</v>
      </c>
      <c r="D10" s="68">
        <f>'Ago-23'!D25</f>
        <v>0.47826086956521741</v>
      </c>
      <c r="E10" s="69">
        <f>'Ago-23'!E25</f>
        <v>1.7826086956521738</v>
      </c>
      <c r="F10" s="69">
        <f>'Ago-23'!F25</f>
        <v>2.3913043478260869</v>
      </c>
      <c r="G10" s="69">
        <f>'Ago-23'!G25</f>
        <v>2.3913043478260869</v>
      </c>
      <c r="H10" s="69">
        <f>'Ago-23'!H25</f>
        <v>0</v>
      </c>
      <c r="I10" s="69">
        <f>'Ago-23'!I25</f>
        <v>2.347826086956522</v>
      </c>
      <c r="J10" s="70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</row>
    <row r="11" spans="1:33" x14ac:dyDescent="0.3">
      <c r="A11" s="29" t="s">
        <v>60</v>
      </c>
      <c r="B11" s="34">
        <f>'Set-23'!B22</f>
        <v>9.25</v>
      </c>
      <c r="C11" s="35">
        <f>'Set-23'!C22</f>
        <v>9.0500000000000007</v>
      </c>
      <c r="D11" s="30">
        <f>'Set-23'!D22</f>
        <v>0.75</v>
      </c>
      <c r="E11" s="11">
        <f>'Set-23'!E22</f>
        <v>1</v>
      </c>
      <c r="F11" s="11">
        <f>'Set-23'!F22</f>
        <v>2.25</v>
      </c>
      <c r="G11" s="11">
        <f>'Set-23'!G22</f>
        <v>3.55</v>
      </c>
      <c r="H11" s="11">
        <f>'Set-23'!H22</f>
        <v>0</v>
      </c>
      <c r="I11" s="11">
        <f>'Set-23'!I22</f>
        <v>1.45</v>
      </c>
      <c r="J11" s="11">
        <f>'Set-23'!J22</f>
        <v>0.05</v>
      </c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</row>
    <row r="12" spans="1:33" x14ac:dyDescent="0.3">
      <c r="A12" s="29" t="s">
        <v>61</v>
      </c>
      <c r="B12" s="86">
        <f>'Out-23'!B24</f>
        <v>7.5454545454545459</v>
      </c>
      <c r="C12" s="87">
        <f>'Out-23'!C24</f>
        <v>7.6818181818181817</v>
      </c>
      <c r="D12" s="88">
        <f>'Out-23'!D24</f>
        <v>0</v>
      </c>
      <c r="E12" s="89">
        <f>'Out-23'!E24</f>
        <v>0.86363636363636365</v>
      </c>
      <c r="F12" s="89">
        <f>'Out-23'!F24</f>
        <v>2.7272727272727271</v>
      </c>
      <c r="G12" s="89">
        <f>'Out-23'!G24</f>
        <v>1.25</v>
      </c>
      <c r="H12" s="89">
        <f>'Out-23'!H24</f>
        <v>0</v>
      </c>
      <c r="I12" s="89">
        <f>'Out-23'!I24</f>
        <v>1.4545454545454546</v>
      </c>
      <c r="J12" s="89">
        <f>'Out-23'!J24</f>
        <v>1.9545454545454546</v>
      </c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</row>
    <row r="13" spans="1:33" x14ac:dyDescent="0.3">
      <c r="A13" s="29" t="s">
        <v>62</v>
      </c>
      <c r="B13" s="34">
        <f>'Nov-23'!B21</f>
        <v>9</v>
      </c>
      <c r="C13" s="35">
        <f>'Nov-23'!C21</f>
        <v>8.4210526315789469</v>
      </c>
      <c r="D13" s="30">
        <v>0</v>
      </c>
      <c r="E13" s="11">
        <f>'Nov-23'!D21</f>
        <v>1</v>
      </c>
      <c r="F13" s="11">
        <f>'Nov-23'!E21</f>
        <v>1.8947368421052631</v>
      </c>
      <c r="G13" s="11">
        <f>'Nov-23'!F21</f>
        <v>2.5263157894736841</v>
      </c>
      <c r="H13" s="11">
        <f>'Nov-23'!G21</f>
        <v>0</v>
      </c>
      <c r="I13" s="11">
        <f>'Nov-23'!H21</f>
        <v>1.0526315789473684</v>
      </c>
      <c r="J13" s="92">
        <f>'Nov-23'!I21</f>
        <v>1.9473684210526316</v>
      </c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</row>
    <row r="14" spans="1:33" x14ac:dyDescent="0.3">
      <c r="A14" s="29" t="s">
        <v>63</v>
      </c>
      <c r="B14" s="34">
        <f>'Dez-23'!B22</f>
        <v>10.3</v>
      </c>
      <c r="C14" s="35">
        <f>'Dez-23'!C22</f>
        <v>9.5500000000000007</v>
      </c>
      <c r="D14" s="30">
        <v>0</v>
      </c>
      <c r="E14" s="11">
        <f>'Dez-23'!D22</f>
        <v>1.1000000000000001</v>
      </c>
      <c r="F14" s="11">
        <f>'Dez-23'!E22</f>
        <v>1.5</v>
      </c>
      <c r="G14" s="11">
        <f>'Dez-23'!F22</f>
        <v>2.85</v>
      </c>
      <c r="H14" s="11">
        <v>0</v>
      </c>
      <c r="I14" s="11">
        <f>'Dez-23'!H22</f>
        <v>1.9</v>
      </c>
      <c r="J14" s="92">
        <f>'Dez-23'!I22</f>
        <v>2.2000000000000002</v>
      </c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</row>
    <row r="15" spans="1:33" ht="18.600000000000001" thickBot="1" x14ac:dyDescent="0.4">
      <c r="A15" s="27" t="s">
        <v>239</v>
      </c>
      <c r="B15" s="45">
        <f>AVERAGE(B3:B14)</f>
        <v>10.175870114185331</v>
      </c>
      <c r="C15" s="46">
        <f t="shared" ref="C15:I15" si="0">AVERAGE(C3:C14)</f>
        <v>9.9480140018469534</v>
      </c>
      <c r="D15" s="40">
        <f t="shared" si="0"/>
        <v>0.55009215506927178</v>
      </c>
      <c r="E15" s="28">
        <f t="shared" si="0"/>
        <v>1.418235036427256</v>
      </c>
      <c r="F15" s="28">
        <f t="shared" si="0"/>
        <v>2.0286546818297393</v>
      </c>
      <c r="G15" s="28">
        <f t="shared" si="0"/>
        <v>4.0849929707338175</v>
      </c>
      <c r="H15" s="28">
        <f t="shared" si="0"/>
        <v>0</v>
      </c>
      <c r="I15" s="28">
        <f t="shared" si="0"/>
        <v>1.4007281530021805</v>
      </c>
      <c r="J15" s="28">
        <f>AVERAGE(J11:J14)</f>
        <v>1.5379784688995215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</row>
    <row r="16" spans="1:33" ht="18" x14ac:dyDescent="0.3">
      <c r="A16" s="49"/>
      <c r="B16" s="50"/>
      <c r="C16" s="50"/>
      <c r="D16" s="50"/>
      <c r="E16" s="50"/>
      <c r="F16" s="50"/>
      <c r="G16" s="50"/>
      <c r="H16" s="50"/>
      <c r="I16" s="50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</row>
    <row r="17" spans="1:33" x14ac:dyDescent="0.3">
      <c r="A17" s="49"/>
      <c r="B17" s="52"/>
      <c r="C17" s="52"/>
      <c r="D17" s="52"/>
      <c r="E17" s="52"/>
      <c r="F17" s="52"/>
      <c r="G17" s="52"/>
      <c r="H17" s="52"/>
      <c r="I17" s="52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</row>
    <row r="18" spans="1:33" ht="21.6" thickBot="1" x14ac:dyDescent="0.45">
      <c r="A18" s="99" t="s">
        <v>49</v>
      </c>
      <c r="B18" s="100"/>
      <c r="C18" s="100"/>
      <c r="D18" s="99"/>
      <c r="E18" s="99"/>
      <c r="F18" s="99"/>
      <c r="G18" s="99"/>
      <c r="H18" s="99"/>
      <c r="I18" s="99"/>
      <c r="J18" s="99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</row>
    <row r="19" spans="1:33" x14ac:dyDescent="0.3">
      <c r="A19" s="62" t="s">
        <v>51</v>
      </c>
      <c r="B19" s="32" t="s">
        <v>1</v>
      </c>
      <c r="C19" s="33" t="s">
        <v>2</v>
      </c>
      <c r="D19" s="63" t="s">
        <v>3</v>
      </c>
      <c r="E19" s="64" t="s">
        <v>4</v>
      </c>
      <c r="F19" s="64" t="s">
        <v>130</v>
      </c>
      <c r="G19" s="64" t="s">
        <v>6</v>
      </c>
      <c r="H19" s="64" t="s">
        <v>7</v>
      </c>
      <c r="I19" s="64" t="s">
        <v>8</v>
      </c>
      <c r="J19" s="64" t="s">
        <v>176</v>
      </c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</row>
    <row r="20" spans="1:33" x14ac:dyDescent="0.3">
      <c r="A20" s="29" t="s">
        <v>52</v>
      </c>
      <c r="B20" s="36">
        <f>'Jan-23'!B25</f>
        <v>203</v>
      </c>
      <c r="C20" s="37">
        <f>'Jan-23'!C25</f>
        <v>188</v>
      </c>
      <c r="D20" s="31">
        <f>'Jan-23'!D25</f>
        <v>19</v>
      </c>
      <c r="E20" s="12">
        <f>'Jan-23'!E25</f>
        <v>11</v>
      </c>
      <c r="F20" s="12">
        <f>'Jan-23'!F25</f>
        <v>34</v>
      </c>
      <c r="G20" s="12">
        <f>'Jan-23'!G25</f>
        <v>116</v>
      </c>
      <c r="H20" s="12">
        <f>'Jan-23'!H25</f>
        <v>0</v>
      </c>
      <c r="I20" s="12">
        <f>'Jan-23'!I25</f>
        <v>8</v>
      </c>
      <c r="J20" s="65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</row>
    <row r="21" spans="1:33" x14ac:dyDescent="0.3">
      <c r="A21" s="29" t="s">
        <v>53</v>
      </c>
      <c r="B21" s="36">
        <f>'Fev-23'!B21</f>
        <v>192</v>
      </c>
      <c r="C21" s="37">
        <f>'Fev-23'!C21</f>
        <v>191</v>
      </c>
      <c r="D21" s="31">
        <f>'Fev-23'!D21</f>
        <v>17</v>
      </c>
      <c r="E21" s="12">
        <f>'Fev-23'!E21</f>
        <v>31</v>
      </c>
      <c r="F21" s="12">
        <f>'Fev-23'!F21</f>
        <v>42</v>
      </c>
      <c r="G21" s="12">
        <f>'Fev-23'!G21</f>
        <v>96</v>
      </c>
      <c r="H21" s="12">
        <f>'Fev-23'!H21</f>
        <v>0</v>
      </c>
      <c r="I21" s="12">
        <f>'Fev-23'!I21</f>
        <v>5</v>
      </c>
      <c r="J21" s="65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</row>
    <row r="22" spans="1:33" x14ac:dyDescent="0.3">
      <c r="A22" s="29" t="s">
        <v>54</v>
      </c>
      <c r="B22" s="36">
        <f>'Mar-23'!B27</f>
        <v>287</v>
      </c>
      <c r="C22" s="37">
        <f>'Mar-23'!C27</f>
        <v>292</v>
      </c>
      <c r="D22" s="31">
        <f>'Mar-23'!D27</f>
        <v>26</v>
      </c>
      <c r="E22" s="12">
        <f>'Mar-23'!E27</f>
        <v>44</v>
      </c>
      <c r="F22" s="12">
        <f>'Mar-23'!F27</f>
        <v>56</v>
      </c>
      <c r="G22" s="12">
        <f>'Mar-23'!G27</f>
        <v>139</v>
      </c>
      <c r="H22" s="12">
        <f>'Mar-23'!H27</f>
        <v>0</v>
      </c>
      <c r="I22" s="12">
        <f>'Mar-23'!I27</f>
        <v>27</v>
      </c>
      <c r="J22" s="65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</row>
    <row r="23" spans="1:33" x14ac:dyDescent="0.3">
      <c r="A23" s="29" t="s">
        <v>55</v>
      </c>
      <c r="B23" s="41">
        <f>'Abr-23'!B22</f>
        <v>209</v>
      </c>
      <c r="C23" s="42">
        <f>'Abr-23'!C22</f>
        <v>212</v>
      </c>
      <c r="D23" s="38">
        <f>'Abr-23'!D22</f>
        <v>14</v>
      </c>
      <c r="E23" s="22">
        <f>'Abr-23'!E22</f>
        <v>42</v>
      </c>
      <c r="F23" s="22">
        <f>'Abr-23'!F22</f>
        <v>26</v>
      </c>
      <c r="G23" s="22">
        <f>'Abr-23'!G22</f>
        <v>102</v>
      </c>
      <c r="H23" s="22">
        <f>'Abr-23'!H22</f>
        <v>0</v>
      </c>
      <c r="I23" s="22">
        <f>'Abr-23'!I22</f>
        <v>28</v>
      </c>
      <c r="J23" s="65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</row>
    <row r="24" spans="1:33" x14ac:dyDescent="0.3">
      <c r="A24" s="29" t="s">
        <v>56</v>
      </c>
      <c r="B24" s="41">
        <f>'Mai-23'!B25</f>
        <v>260</v>
      </c>
      <c r="C24" s="42">
        <f>'Mai-23'!C25</f>
        <v>267</v>
      </c>
      <c r="D24" s="38">
        <f>'Mai-23'!D25</f>
        <v>8</v>
      </c>
      <c r="E24" s="22">
        <f>'Mai-23'!E25</f>
        <v>38</v>
      </c>
      <c r="F24" s="22">
        <f>'Mai-23'!F25</f>
        <v>45</v>
      </c>
      <c r="G24" s="22">
        <f>'Mai-23'!G25</f>
        <v>119</v>
      </c>
      <c r="H24" s="22">
        <f>'Mai-23'!H25</f>
        <v>0</v>
      </c>
      <c r="I24" s="22">
        <f>'Mai-23'!I25</f>
        <v>57</v>
      </c>
      <c r="J24" s="65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</row>
    <row r="25" spans="1:33" x14ac:dyDescent="0.3">
      <c r="A25" s="29" t="s">
        <v>57</v>
      </c>
      <c r="B25" s="41">
        <f>'Jun-23'!B25</f>
        <v>277</v>
      </c>
      <c r="C25" s="42">
        <f>'Jun-23'!C25</f>
        <v>265</v>
      </c>
      <c r="D25" s="38">
        <f>'Jun-23'!D25</f>
        <v>22</v>
      </c>
      <c r="E25" s="22">
        <f>'Jun-23'!E25</f>
        <v>47</v>
      </c>
      <c r="F25" s="22">
        <f>'Jun-23'!F25</f>
        <v>43</v>
      </c>
      <c r="G25" s="22">
        <f>'Jun-23'!G25</f>
        <v>114</v>
      </c>
      <c r="H25" s="22">
        <f>'Jun-23'!H25</f>
        <v>0</v>
      </c>
      <c r="I25" s="22">
        <f>'Jun-23'!I25</f>
        <v>39</v>
      </c>
      <c r="J25" s="65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</row>
    <row r="26" spans="1:33" x14ac:dyDescent="0.3">
      <c r="A26" s="29" t="s">
        <v>58</v>
      </c>
      <c r="B26" s="41">
        <f>'Jul-23'!B24</f>
        <v>182</v>
      </c>
      <c r="C26" s="42">
        <f>'Jul-23'!C24</f>
        <v>181</v>
      </c>
      <c r="D26" s="38">
        <f>'Jul-23'!D24</f>
        <v>8</v>
      </c>
      <c r="E26" s="22">
        <f>'Jul-23'!E24</f>
        <v>24</v>
      </c>
      <c r="F26" s="22">
        <f>'Jul-23'!F24</f>
        <v>42</v>
      </c>
      <c r="G26" s="22">
        <f>'Jul-23'!G24</f>
        <v>86</v>
      </c>
      <c r="H26" s="22">
        <f>'Jul-23'!H24</f>
        <v>0</v>
      </c>
      <c r="I26" s="22">
        <f>'Jul-23'!I24</f>
        <v>21</v>
      </c>
      <c r="J26" s="65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</row>
    <row r="27" spans="1:33" x14ac:dyDescent="0.3">
      <c r="A27" s="29" t="s">
        <v>59</v>
      </c>
      <c r="B27" s="74">
        <f>'Ago-23'!B26</f>
        <v>232</v>
      </c>
      <c r="C27" s="75">
        <f>'Ago-23'!C26</f>
        <v>216</v>
      </c>
      <c r="D27" s="76">
        <f>'Ago-23'!D26</f>
        <v>11</v>
      </c>
      <c r="E27" s="77">
        <f>'Ago-23'!E26</f>
        <v>41</v>
      </c>
      <c r="F27" s="77">
        <f>'Ago-23'!F26</f>
        <v>55</v>
      </c>
      <c r="G27" s="77">
        <f>'Ago-23'!G26</f>
        <v>55</v>
      </c>
      <c r="H27" s="77">
        <f>'Ago-23'!H26</f>
        <v>0</v>
      </c>
      <c r="I27" s="77">
        <f>'Ago-23'!I26</f>
        <v>54</v>
      </c>
      <c r="J27" s="7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</row>
    <row r="28" spans="1:33" x14ac:dyDescent="0.3">
      <c r="A28" s="29" t="s">
        <v>60</v>
      </c>
      <c r="B28" s="36">
        <f>'Set-23'!B23</f>
        <v>185</v>
      </c>
      <c r="C28" s="37">
        <f>'Set-23'!C23</f>
        <v>181</v>
      </c>
      <c r="D28" s="31">
        <f>'Set-23'!D23</f>
        <v>15</v>
      </c>
      <c r="E28" s="12">
        <f>'Set-23'!E23</f>
        <v>20</v>
      </c>
      <c r="F28" s="12">
        <f>'Set-23'!F23</f>
        <v>45</v>
      </c>
      <c r="G28" s="12">
        <f>'Set-23'!G23</f>
        <v>71</v>
      </c>
      <c r="H28" s="12">
        <f>'Set-23'!H23</f>
        <v>0</v>
      </c>
      <c r="I28" s="12">
        <f>'Set-23'!I23</f>
        <v>29</v>
      </c>
      <c r="J28" s="12">
        <f>'Set-23'!J23</f>
        <v>1</v>
      </c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</row>
    <row r="29" spans="1:33" x14ac:dyDescent="0.3">
      <c r="A29" s="29" t="s">
        <v>61</v>
      </c>
      <c r="B29" s="71">
        <f>'Out-23'!B25</f>
        <v>166</v>
      </c>
      <c r="C29" s="72">
        <f>'Out-23'!C25</f>
        <v>169</v>
      </c>
      <c r="D29" s="73">
        <f>'Out-23'!D25</f>
        <v>0</v>
      </c>
      <c r="E29" s="73">
        <f>'Out-23'!E25</f>
        <v>19</v>
      </c>
      <c r="F29" s="73">
        <f>'Out-23'!F25</f>
        <v>60</v>
      </c>
      <c r="G29" s="73">
        <f>'Out-23'!G25</f>
        <v>15</v>
      </c>
      <c r="H29" s="73">
        <f>'Out-23'!H25</f>
        <v>0</v>
      </c>
      <c r="I29" s="73">
        <f>'Out-23'!I25</f>
        <v>32</v>
      </c>
      <c r="J29" s="73">
        <f>'Out-23'!J25</f>
        <v>43</v>
      </c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</row>
    <row r="30" spans="1:33" x14ac:dyDescent="0.3">
      <c r="A30" s="29" t="s">
        <v>62</v>
      </c>
      <c r="B30" s="36">
        <f>'Nov-23'!B22</f>
        <v>171</v>
      </c>
      <c r="C30" s="37">
        <f>'Nov-23'!C22</f>
        <v>160</v>
      </c>
      <c r="D30" s="31">
        <v>0</v>
      </c>
      <c r="E30" s="12">
        <f>'Nov-23'!D22</f>
        <v>19</v>
      </c>
      <c r="F30" s="12">
        <f>'Nov-23'!E22</f>
        <v>36</v>
      </c>
      <c r="G30" s="12">
        <f>'Nov-23'!F22</f>
        <v>48</v>
      </c>
      <c r="H30" s="12">
        <f>'Nov-23'!G22</f>
        <v>0</v>
      </c>
      <c r="I30" s="12">
        <f>'Nov-23'!H22</f>
        <v>20</v>
      </c>
      <c r="J30" s="93">
        <f>'Nov-23'!I22</f>
        <v>37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</row>
    <row r="31" spans="1:33" x14ac:dyDescent="0.3">
      <c r="A31" s="29" t="s">
        <v>63</v>
      </c>
      <c r="B31" s="36">
        <f>'Dez-23'!B23</f>
        <v>206</v>
      </c>
      <c r="C31" s="37">
        <f>'Dez-23'!C23</f>
        <v>191</v>
      </c>
      <c r="D31" s="31">
        <v>0</v>
      </c>
      <c r="E31" s="12">
        <f>'Dez-23'!D23</f>
        <v>22</v>
      </c>
      <c r="F31" s="12">
        <f>'Dez-23'!E23</f>
        <v>30</v>
      </c>
      <c r="G31" s="12">
        <f>'Dez-23'!F23</f>
        <v>57</v>
      </c>
      <c r="H31" s="12">
        <v>0</v>
      </c>
      <c r="I31" s="12">
        <f>'Dez-23'!H23</f>
        <v>38</v>
      </c>
      <c r="J31" s="103">
        <f>'Dez-23'!I23</f>
        <v>44</v>
      </c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</row>
    <row r="32" spans="1:33" ht="18" x14ac:dyDescent="0.35">
      <c r="A32" s="94" t="s">
        <v>240</v>
      </c>
      <c r="B32" s="43">
        <f>SUM(B20:B31)</f>
        <v>2570</v>
      </c>
      <c r="C32" s="44">
        <f t="shared" ref="C32:J32" si="1">SUM(C20:C31)</f>
        <v>2513</v>
      </c>
      <c r="D32" s="39">
        <f t="shared" si="1"/>
        <v>140</v>
      </c>
      <c r="E32" s="14">
        <f t="shared" si="1"/>
        <v>358</v>
      </c>
      <c r="F32" s="14">
        <f t="shared" si="1"/>
        <v>514</v>
      </c>
      <c r="G32" s="14">
        <f t="shared" si="1"/>
        <v>1018</v>
      </c>
      <c r="H32" s="14">
        <f t="shared" si="1"/>
        <v>0</v>
      </c>
      <c r="I32" s="14">
        <f t="shared" si="1"/>
        <v>358</v>
      </c>
      <c r="J32" s="14">
        <f t="shared" si="1"/>
        <v>125</v>
      </c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</row>
    <row r="33" spans="1:33" ht="18.600000000000001" thickBot="1" x14ac:dyDescent="0.4">
      <c r="A33" s="27" t="s">
        <v>238</v>
      </c>
      <c r="B33" s="45">
        <f>AVERAGE(B20:B31)</f>
        <v>214.16666666666666</v>
      </c>
      <c r="C33" s="46">
        <f t="shared" ref="C33:J33" si="2">AVERAGE(C20:C31)</f>
        <v>209.41666666666666</v>
      </c>
      <c r="D33" s="40">
        <f t="shared" si="2"/>
        <v>11.666666666666666</v>
      </c>
      <c r="E33" s="28">
        <f t="shared" si="2"/>
        <v>29.833333333333332</v>
      </c>
      <c r="F33" s="28">
        <f t="shared" si="2"/>
        <v>42.833333333333336</v>
      </c>
      <c r="G33" s="28">
        <f t="shared" si="2"/>
        <v>84.833333333333329</v>
      </c>
      <c r="H33" s="28">
        <f t="shared" si="2"/>
        <v>0</v>
      </c>
      <c r="I33" s="28">
        <f t="shared" si="2"/>
        <v>29.833333333333332</v>
      </c>
      <c r="J33" s="28">
        <f t="shared" si="2"/>
        <v>31.25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</row>
    <row r="34" spans="1:33" x14ac:dyDescent="0.3">
      <c r="A34" s="49"/>
      <c r="B34" s="52"/>
      <c r="C34" s="52"/>
      <c r="D34" s="52"/>
      <c r="E34" s="52"/>
      <c r="F34" s="52"/>
      <c r="G34" s="52"/>
      <c r="H34" s="52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</row>
    <row r="35" spans="1:33" x14ac:dyDescent="0.3">
      <c r="A35" s="49"/>
      <c r="B35" s="52"/>
      <c r="C35" s="52"/>
      <c r="D35" s="52"/>
      <c r="E35" s="52"/>
      <c r="F35" s="52"/>
      <c r="G35" s="52"/>
      <c r="H35" s="52"/>
      <c r="I35" s="52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</row>
    <row r="36" spans="1:33" ht="21" x14ac:dyDescent="0.4">
      <c r="A36" s="101" t="s">
        <v>50</v>
      </c>
      <c r="B36" s="101"/>
      <c r="C36" s="101"/>
      <c r="D36" s="101"/>
      <c r="E36" s="101"/>
      <c r="F36" s="101"/>
      <c r="G36" s="101"/>
      <c r="H36" s="101"/>
      <c r="I36" s="10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</row>
    <row r="37" spans="1:33" x14ac:dyDescent="0.3">
      <c r="A37" s="5" t="s">
        <v>51</v>
      </c>
      <c r="B37" s="19" t="s">
        <v>3</v>
      </c>
      <c r="C37" s="19" t="s">
        <v>4</v>
      </c>
      <c r="D37" s="19" t="s">
        <v>130</v>
      </c>
      <c r="E37" s="19" t="s">
        <v>6</v>
      </c>
      <c r="F37" s="19" t="s">
        <v>7</v>
      </c>
      <c r="G37" s="19" t="s">
        <v>8</v>
      </c>
      <c r="H37" s="19" t="s">
        <v>176</v>
      </c>
      <c r="I37" s="47" t="s">
        <v>64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</row>
    <row r="38" spans="1:33" x14ac:dyDescent="0.3">
      <c r="A38" s="20" t="s">
        <v>52</v>
      </c>
      <c r="B38" s="11">
        <f>'Jan-23'!D26</f>
        <v>10.106382978723405</v>
      </c>
      <c r="C38" s="11">
        <f>'Jan-23'!E26</f>
        <v>5.8510638297872344</v>
      </c>
      <c r="D38" s="11">
        <f>'Jan-23'!F26</f>
        <v>18.085106382978722</v>
      </c>
      <c r="E38" s="11">
        <f>'Jan-23'!G26</f>
        <v>61.702127659574465</v>
      </c>
      <c r="F38" s="11">
        <f>'Jan-23'!H26</f>
        <v>0</v>
      </c>
      <c r="G38" s="11">
        <f>'Jan-23'!I26</f>
        <v>4.2553191489361701</v>
      </c>
      <c r="H38" s="12"/>
      <c r="I38" s="48">
        <f t="shared" ref="I38:I45" si="3">SUM(B38:G38)</f>
        <v>100</v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</row>
    <row r="39" spans="1:33" x14ac:dyDescent="0.3">
      <c r="A39" s="20" t="s">
        <v>53</v>
      </c>
      <c r="B39" s="11">
        <f>'Fev-23'!D22</f>
        <v>8.9005235602094235</v>
      </c>
      <c r="C39" s="11">
        <f>'Fev-23'!E22</f>
        <v>16.230366492146597</v>
      </c>
      <c r="D39" s="11">
        <f>'Fev-23'!F22</f>
        <v>21.98952879581152</v>
      </c>
      <c r="E39" s="11">
        <f>'Fev-23'!G22</f>
        <v>50.261780104712045</v>
      </c>
      <c r="F39" s="11">
        <f>'Fev-23'!H22</f>
        <v>0</v>
      </c>
      <c r="G39" s="11">
        <f>'Fev-23'!I22</f>
        <v>2.6178010471204187</v>
      </c>
      <c r="H39" s="12"/>
      <c r="I39" s="48">
        <f t="shared" si="3"/>
        <v>100.00000000000001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</row>
    <row r="40" spans="1:33" x14ac:dyDescent="0.3">
      <c r="A40" s="20" t="s">
        <v>54</v>
      </c>
      <c r="B40" s="11">
        <f>'Mar-23'!D28</f>
        <v>8.9041095890410951</v>
      </c>
      <c r="C40" s="11">
        <f>'Mar-23'!E28</f>
        <v>15.068493150684931</v>
      </c>
      <c r="D40" s="11">
        <f>'Mar-23'!F28</f>
        <v>19.17808219178082</v>
      </c>
      <c r="E40" s="11">
        <f>'Mar-23'!G28</f>
        <v>47.602739726027394</v>
      </c>
      <c r="F40" s="11">
        <f>'Mar-23'!H28</f>
        <v>0</v>
      </c>
      <c r="G40" s="11">
        <f>'Mar-23'!I28</f>
        <v>9.2465753424657535</v>
      </c>
      <c r="H40" s="12"/>
      <c r="I40" s="48">
        <f t="shared" si="3"/>
        <v>100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</row>
    <row r="41" spans="1:33" x14ac:dyDescent="0.3">
      <c r="A41" s="20" t="s">
        <v>55</v>
      </c>
      <c r="B41" s="11">
        <f>'Abr-23'!D23</f>
        <v>6.6037735849056602</v>
      </c>
      <c r="C41" s="11">
        <f>'Abr-23'!E23</f>
        <v>19.811320754716981</v>
      </c>
      <c r="D41" s="11">
        <f>'Abr-23'!F23</f>
        <v>12.264150943396226</v>
      </c>
      <c r="E41" s="11">
        <f>'Abr-23'!G23</f>
        <v>48.113207547169814</v>
      </c>
      <c r="F41" s="11">
        <f>'Abr-23'!H23</f>
        <v>0</v>
      </c>
      <c r="G41" s="11">
        <f>'Abr-23'!I23</f>
        <v>13.20754716981132</v>
      </c>
      <c r="H41" s="12"/>
      <c r="I41" s="48">
        <f t="shared" si="3"/>
        <v>100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</row>
    <row r="42" spans="1:33" x14ac:dyDescent="0.3">
      <c r="A42" s="20" t="s">
        <v>56</v>
      </c>
      <c r="B42" s="11">
        <f>'Mai-23'!D26</f>
        <v>2.9962546816479403</v>
      </c>
      <c r="C42" s="11">
        <f>'Mai-23'!E26</f>
        <v>14.232209737827715</v>
      </c>
      <c r="D42" s="11">
        <f>'Mai-23'!F26</f>
        <v>16.853932584269664</v>
      </c>
      <c r="E42" s="11">
        <f>'Mai-23'!G26</f>
        <v>44.569288389513112</v>
      </c>
      <c r="F42" s="11">
        <f>'Mai-23'!H26</f>
        <v>0</v>
      </c>
      <c r="G42" s="11">
        <f>'Mai-23'!I26</f>
        <v>21.348314606741575</v>
      </c>
      <c r="H42" s="12"/>
      <c r="I42" s="48">
        <f t="shared" si="3"/>
        <v>100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</row>
    <row r="43" spans="1:33" x14ac:dyDescent="0.3">
      <c r="A43" s="20" t="s">
        <v>57</v>
      </c>
      <c r="B43" s="11">
        <f>'Jun-23'!D26</f>
        <v>8.3018867924528301</v>
      </c>
      <c r="C43" s="11">
        <f>'Jun-23'!E26</f>
        <v>17.735849056603772</v>
      </c>
      <c r="D43" s="11">
        <f>'Jun-23'!F26</f>
        <v>16.226415094339622</v>
      </c>
      <c r="E43" s="11">
        <f>'Jun-23'!G26</f>
        <v>43.018867924528301</v>
      </c>
      <c r="F43" s="11">
        <f>'Jun-23'!H26</f>
        <v>0</v>
      </c>
      <c r="G43" s="11">
        <f>'Jun-23'!I26</f>
        <v>14.716981132075471</v>
      </c>
      <c r="H43" s="12"/>
      <c r="I43" s="48">
        <f t="shared" si="3"/>
        <v>100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</row>
    <row r="44" spans="1:33" x14ac:dyDescent="0.3">
      <c r="A44" s="20" t="s">
        <v>58</v>
      </c>
      <c r="B44" s="11">
        <f>'Jul-23'!D25</f>
        <v>4.4198895027624312</v>
      </c>
      <c r="C44" s="11">
        <f>'Jul-23'!E25</f>
        <v>13.259668508287293</v>
      </c>
      <c r="D44" s="11">
        <f>'Jul-23'!F25</f>
        <v>23.204419889502763</v>
      </c>
      <c r="E44" s="11">
        <f>'Jul-23'!G25</f>
        <v>47.513812154696133</v>
      </c>
      <c r="F44" s="11">
        <f>'Jul-23'!H25</f>
        <v>0</v>
      </c>
      <c r="G44" s="11">
        <f>'Jul-23'!I25</f>
        <v>11.602209944751381</v>
      </c>
      <c r="H44" s="12"/>
      <c r="I44" s="48">
        <f t="shared" si="3"/>
        <v>100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</row>
    <row r="45" spans="1:33" x14ac:dyDescent="0.3">
      <c r="A45" s="20" t="s">
        <v>59</v>
      </c>
      <c r="B45" s="11">
        <f>'Ago-23'!D27</f>
        <v>5.0925925925925926</v>
      </c>
      <c r="C45" s="11">
        <f>'Ago-23'!E27</f>
        <v>18.981481481481481</v>
      </c>
      <c r="D45" s="11">
        <f>'Ago-23'!F27</f>
        <v>25.462962962962962</v>
      </c>
      <c r="E45" s="11">
        <f>'Ago-23'!G27</f>
        <v>25.462962962962962</v>
      </c>
      <c r="F45" s="11">
        <f>'Ago-23'!H27</f>
        <v>0</v>
      </c>
      <c r="G45" s="11">
        <f>'Ago-23'!I27</f>
        <v>25</v>
      </c>
      <c r="H45" s="12"/>
      <c r="I45" s="48">
        <f t="shared" si="3"/>
        <v>100</v>
      </c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</row>
    <row r="46" spans="1:33" x14ac:dyDescent="0.3">
      <c r="A46" s="20" t="s">
        <v>60</v>
      </c>
      <c r="B46" s="11">
        <f>'Set-23'!D24</f>
        <v>8.2872928176795586</v>
      </c>
      <c r="C46" s="11">
        <f>'Set-23'!E24</f>
        <v>11.049723756906078</v>
      </c>
      <c r="D46" s="11">
        <f>'Set-23'!F24</f>
        <v>24.861878453038674</v>
      </c>
      <c r="E46" s="11">
        <f>'Set-23'!G24</f>
        <v>39.226519337016576</v>
      </c>
      <c r="F46" s="11">
        <f>'Set-23'!H24</f>
        <v>0</v>
      </c>
      <c r="G46" s="11">
        <f>'Set-23'!I24</f>
        <v>16.022099447513813</v>
      </c>
      <c r="H46" s="11">
        <f>'Set-23'!J24</f>
        <v>0.5524861878453039</v>
      </c>
      <c r="I46" s="48">
        <f>SUM(B46:H46)</f>
        <v>100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</row>
    <row r="47" spans="1:33" x14ac:dyDescent="0.3">
      <c r="A47" s="20" t="s">
        <v>61</v>
      </c>
      <c r="B47" s="11">
        <f>'Out-23'!D26</f>
        <v>0</v>
      </c>
      <c r="C47" s="11">
        <f>'Out-23'!E26</f>
        <v>11.242603550295858</v>
      </c>
      <c r="D47" s="11">
        <f>'Out-23'!F26</f>
        <v>35.502958579881657</v>
      </c>
      <c r="E47" s="11">
        <f>'Out-23'!G26</f>
        <v>8.8757396449704142</v>
      </c>
      <c r="F47" s="11">
        <f>'Out-23'!H26</f>
        <v>0</v>
      </c>
      <c r="G47" s="11">
        <f>'Out-23'!I26</f>
        <v>18.934911242603551</v>
      </c>
      <c r="H47" s="11">
        <f>'Out-23'!J26</f>
        <v>25.443786982248522</v>
      </c>
      <c r="I47" s="48">
        <f>SUM(B47:H47)</f>
        <v>100.00000000000001</v>
      </c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</row>
    <row r="48" spans="1:33" x14ac:dyDescent="0.3">
      <c r="A48" s="20" t="s">
        <v>62</v>
      </c>
      <c r="B48" s="11">
        <v>0</v>
      </c>
      <c r="C48" s="11">
        <f>'Nov-23'!D23</f>
        <v>11.875</v>
      </c>
      <c r="D48" s="11">
        <f>'Nov-23'!E23</f>
        <v>22.5</v>
      </c>
      <c r="E48" s="11">
        <f>'Nov-23'!F23</f>
        <v>30</v>
      </c>
      <c r="F48" s="11">
        <f>'Nov-23'!G23</f>
        <v>0</v>
      </c>
      <c r="G48" s="11">
        <f>'Nov-23'!H23</f>
        <v>12.5</v>
      </c>
      <c r="H48" s="11">
        <f>'Nov-23'!I23</f>
        <v>23.125</v>
      </c>
      <c r="I48" s="48">
        <f>SUM(B48:H48)</f>
        <v>100</v>
      </c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</row>
    <row r="49" spans="1:33" x14ac:dyDescent="0.3">
      <c r="A49" s="20" t="s">
        <v>63</v>
      </c>
      <c r="B49" s="11">
        <v>0</v>
      </c>
      <c r="C49" s="11">
        <f>'Dez-23'!D24</f>
        <v>11.518324607329843</v>
      </c>
      <c r="D49" s="11">
        <f>'Dez-23'!E24</f>
        <v>15.706806282722512</v>
      </c>
      <c r="E49" s="11">
        <f>'Dez-23'!F24</f>
        <v>29.842931937172775</v>
      </c>
      <c r="F49" s="11">
        <v>0</v>
      </c>
      <c r="G49" s="11">
        <f>'Dez-23'!H24</f>
        <v>19.895287958115183</v>
      </c>
      <c r="H49" s="11">
        <f>'Dez-23'!I24</f>
        <v>23.036649214659686</v>
      </c>
      <c r="I49" s="48">
        <f>SUM(B49:H49)</f>
        <v>100</v>
      </c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</row>
    <row r="50" spans="1:33" ht="18" x14ac:dyDescent="0.35">
      <c r="A50" s="27" t="s">
        <v>238</v>
      </c>
      <c r="B50" s="28">
        <f t="shared" ref="B50:H50" si="4">AVERAGE(B38:B49)</f>
        <v>5.3010588416679107</v>
      </c>
      <c r="C50" s="28">
        <f t="shared" si="4"/>
        <v>13.904675410505648</v>
      </c>
      <c r="D50" s="28">
        <f t="shared" si="4"/>
        <v>20.98635351339043</v>
      </c>
      <c r="E50" s="28">
        <f t="shared" si="4"/>
        <v>39.682498115695331</v>
      </c>
      <c r="F50" s="28">
        <f t="shared" si="4"/>
        <v>0</v>
      </c>
      <c r="G50" s="28">
        <f t="shared" si="4"/>
        <v>14.11225392001122</v>
      </c>
      <c r="H50" s="28">
        <f t="shared" si="4"/>
        <v>18.03948059618838</v>
      </c>
      <c r="I50" s="48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</row>
    <row r="51" spans="1:33" ht="18" x14ac:dyDescent="0.35">
      <c r="A51" s="94" t="s">
        <v>240</v>
      </c>
      <c r="B51" s="95">
        <f>(D32*100)/C32</f>
        <v>5.5710306406685239</v>
      </c>
      <c r="C51" s="95">
        <f>(E32*100)/C32</f>
        <v>14.245921209709511</v>
      </c>
      <c r="D51" s="95">
        <f>(F32*100)/C32</f>
        <v>20.453641066454438</v>
      </c>
      <c r="E51" s="95">
        <f>(G32*100)/C32</f>
        <v>40.509351372861126</v>
      </c>
      <c r="F51" s="96">
        <f>(H32*100)/C32</f>
        <v>0</v>
      </c>
      <c r="G51" s="95">
        <f>(I32*100)/C32</f>
        <v>14.245921209709511</v>
      </c>
      <c r="H51" s="95">
        <f>(J32*100)/C32</f>
        <v>4.9741345005968958</v>
      </c>
      <c r="I51" s="48">
        <f>SUM(B51:H51)</f>
        <v>99.999999999999986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</row>
    <row r="52" spans="1:33" x14ac:dyDescent="0.3">
      <c r="A52" s="49"/>
      <c r="B52" s="52"/>
      <c r="C52" s="52"/>
      <c r="D52" s="52"/>
      <c r="E52" s="52"/>
      <c r="F52" s="52"/>
      <c r="G52" s="52"/>
      <c r="H52" s="52"/>
      <c r="I52" s="52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</row>
    <row r="53" spans="1:33" x14ac:dyDescent="0.3">
      <c r="A53" s="49"/>
      <c r="B53" s="52"/>
      <c r="C53" s="52"/>
      <c r="D53" s="52"/>
      <c r="E53" s="52"/>
      <c r="F53" s="52"/>
      <c r="G53" s="52"/>
      <c r="H53" s="52"/>
      <c r="I53" s="52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</row>
    <row r="54" spans="1:33" x14ac:dyDescent="0.3">
      <c r="A54" s="49"/>
      <c r="B54" s="52"/>
      <c r="C54" s="52"/>
      <c r="D54" s="52"/>
      <c r="E54" s="52"/>
      <c r="F54" s="52"/>
      <c r="G54" s="52"/>
      <c r="H54" s="52"/>
      <c r="I54" s="52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</row>
    <row r="55" spans="1:33" x14ac:dyDescent="0.3">
      <c r="A55" s="49"/>
      <c r="B55" s="52"/>
      <c r="C55" s="52"/>
      <c r="D55" s="52"/>
      <c r="E55" s="52"/>
      <c r="F55" s="52"/>
      <c r="G55" s="52"/>
      <c r="H55" s="52"/>
      <c r="I55" s="52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</row>
    <row r="56" spans="1:33" x14ac:dyDescent="0.3">
      <c r="A56" s="49"/>
      <c r="B56" s="52"/>
      <c r="C56" s="52"/>
      <c r="D56" s="52"/>
      <c r="E56" s="52"/>
      <c r="F56" s="52"/>
      <c r="G56" s="52"/>
      <c r="H56" s="52"/>
      <c r="I56" s="52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</row>
    <row r="57" spans="1:33" x14ac:dyDescent="0.3">
      <c r="A57" s="49"/>
      <c r="B57" s="52"/>
      <c r="C57" s="52"/>
      <c r="D57" s="52"/>
      <c r="E57" s="52"/>
      <c r="F57" s="52"/>
      <c r="G57" s="52"/>
      <c r="H57" s="52"/>
      <c r="I57" s="52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</row>
    <row r="58" spans="1:33" x14ac:dyDescent="0.3">
      <c r="A58" s="49"/>
      <c r="B58" s="52"/>
      <c r="C58" s="52"/>
      <c r="D58" s="52"/>
      <c r="E58" s="52"/>
      <c r="F58" s="52"/>
      <c r="G58" s="52"/>
      <c r="H58" s="52"/>
      <c r="I58" s="52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</row>
    <row r="59" spans="1:33" x14ac:dyDescent="0.3">
      <c r="A59" s="49"/>
      <c r="B59" s="52"/>
      <c r="C59" s="52"/>
      <c r="D59" s="52"/>
      <c r="E59" s="52"/>
      <c r="F59" s="52"/>
      <c r="G59" s="52"/>
      <c r="H59" s="52"/>
      <c r="I59" s="52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</row>
    <row r="60" spans="1:33" x14ac:dyDescent="0.3">
      <c r="A60" s="49"/>
      <c r="B60" s="52"/>
      <c r="C60" s="52"/>
      <c r="D60" s="52"/>
      <c r="E60" s="52"/>
      <c r="F60" s="52"/>
      <c r="G60" s="52"/>
      <c r="H60" s="52"/>
      <c r="I60" s="52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</row>
    <row r="61" spans="1:33" x14ac:dyDescent="0.3">
      <c r="A61" s="49"/>
      <c r="B61" s="52"/>
      <c r="C61" s="52"/>
      <c r="D61" s="52"/>
      <c r="E61" s="52"/>
      <c r="F61" s="52"/>
      <c r="G61" s="52"/>
      <c r="H61" s="52"/>
      <c r="I61" s="52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</row>
    <row r="62" spans="1:33" x14ac:dyDescent="0.3">
      <c r="A62" s="49"/>
      <c r="B62" s="52"/>
      <c r="C62" s="52"/>
      <c r="D62" s="52"/>
      <c r="E62" s="52"/>
      <c r="F62" s="52"/>
      <c r="G62" s="52"/>
      <c r="H62" s="52"/>
      <c r="I62" s="52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</row>
    <row r="63" spans="1:33" x14ac:dyDescent="0.3">
      <c r="A63" s="49"/>
      <c r="B63" s="52"/>
      <c r="C63" s="52"/>
      <c r="D63" s="52"/>
      <c r="E63" s="52"/>
      <c r="F63" s="52"/>
      <c r="G63" s="52"/>
      <c r="H63" s="52"/>
      <c r="I63" s="52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</row>
    <row r="64" spans="1:33" x14ac:dyDescent="0.3">
      <c r="A64" s="49"/>
      <c r="B64" s="52"/>
      <c r="C64" s="52"/>
      <c r="D64" s="52"/>
      <c r="E64" s="52"/>
      <c r="F64" s="52"/>
      <c r="G64" s="52"/>
      <c r="H64" s="52"/>
      <c r="I64" s="52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</row>
    <row r="65" spans="1:33" x14ac:dyDescent="0.3">
      <c r="A65" s="49"/>
      <c r="B65" s="52"/>
      <c r="C65" s="52"/>
      <c r="D65" s="52"/>
      <c r="E65" s="52"/>
      <c r="F65" s="52"/>
      <c r="G65" s="52"/>
      <c r="H65" s="52"/>
      <c r="I65" s="52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</row>
    <row r="66" spans="1:33" x14ac:dyDescent="0.3">
      <c r="A66" s="49"/>
      <c r="B66" s="52"/>
      <c r="C66" s="52"/>
      <c r="D66" s="52"/>
      <c r="E66" s="52"/>
      <c r="F66" s="52"/>
      <c r="G66" s="52"/>
      <c r="H66" s="52"/>
      <c r="I66" s="52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</row>
    <row r="67" spans="1:33" x14ac:dyDescent="0.3">
      <c r="A67" s="49"/>
      <c r="B67" s="52"/>
      <c r="C67" s="52"/>
      <c r="D67" s="52"/>
      <c r="E67" s="52"/>
      <c r="F67" s="52"/>
      <c r="G67" s="52"/>
      <c r="H67" s="52"/>
      <c r="I67" s="52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</row>
    <row r="68" spans="1:33" x14ac:dyDescent="0.3">
      <c r="A68" s="49"/>
      <c r="B68" s="52"/>
      <c r="C68" s="52"/>
      <c r="D68" s="52"/>
      <c r="E68" s="52"/>
      <c r="F68" s="52"/>
      <c r="G68" s="52"/>
      <c r="H68" s="52"/>
      <c r="I68" s="52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</row>
    <row r="69" spans="1:33" x14ac:dyDescent="0.3">
      <c r="A69" s="49"/>
      <c r="B69" s="52"/>
      <c r="C69" s="52"/>
      <c r="D69" s="52"/>
      <c r="E69" s="52"/>
      <c r="F69" s="52"/>
      <c r="G69" s="52"/>
      <c r="H69" s="52"/>
      <c r="I69" s="52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</row>
    <row r="70" spans="1:33" x14ac:dyDescent="0.3">
      <c r="A70" s="49"/>
      <c r="B70" s="52"/>
      <c r="C70" s="52"/>
      <c r="D70" s="52"/>
      <c r="E70" s="52"/>
      <c r="F70" s="52"/>
      <c r="G70" s="52"/>
      <c r="H70" s="52"/>
      <c r="I70" s="52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</row>
    <row r="71" spans="1:33" x14ac:dyDescent="0.3">
      <c r="A71" s="49"/>
      <c r="B71" s="52"/>
      <c r="C71" s="52"/>
      <c r="D71" s="52"/>
      <c r="E71" s="52"/>
      <c r="F71" s="52"/>
      <c r="G71" s="52"/>
      <c r="H71" s="52"/>
      <c r="I71" s="52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</row>
    <row r="72" spans="1:33" x14ac:dyDescent="0.3">
      <c r="A72" s="49"/>
      <c r="B72" s="52"/>
      <c r="C72" s="52"/>
      <c r="D72" s="52"/>
      <c r="E72" s="52"/>
      <c r="F72" s="52"/>
      <c r="G72" s="52"/>
      <c r="H72" s="52"/>
      <c r="I72" s="52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</row>
    <row r="73" spans="1:33" x14ac:dyDescent="0.3">
      <c r="A73" s="49"/>
      <c r="B73" s="52"/>
      <c r="C73" s="52"/>
      <c r="D73" s="52"/>
      <c r="E73" s="52"/>
      <c r="F73" s="52"/>
      <c r="G73" s="52"/>
      <c r="H73" s="52"/>
      <c r="I73" s="52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</row>
    <row r="74" spans="1:33" x14ac:dyDescent="0.3">
      <c r="A74" s="49"/>
      <c r="B74" s="52"/>
      <c r="C74" s="52"/>
      <c r="D74" s="52"/>
      <c r="E74" s="52"/>
      <c r="F74" s="52"/>
      <c r="G74" s="52"/>
      <c r="H74" s="52"/>
      <c r="I74" s="52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</row>
    <row r="75" spans="1:33" x14ac:dyDescent="0.3">
      <c r="A75" s="49"/>
      <c r="B75" s="52"/>
      <c r="C75" s="52"/>
      <c r="D75" s="52"/>
      <c r="E75" s="52"/>
      <c r="F75" s="52"/>
      <c r="G75" s="52"/>
      <c r="H75" s="52"/>
      <c r="I75" s="52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</row>
    <row r="76" spans="1:33" x14ac:dyDescent="0.3">
      <c r="A76" s="49"/>
      <c r="B76" s="52"/>
      <c r="C76" s="52"/>
      <c r="D76" s="52"/>
      <c r="E76" s="52"/>
      <c r="F76" s="52"/>
      <c r="G76" s="52"/>
      <c r="H76" s="52"/>
      <c r="I76" s="52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</row>
    <row r="77" spans="1:33" x14ac:dyDescent="0.3">
      <c r="X77" s="51"/>
      <c r="Y77" s="51"/>
      <c r="Z77" s="51"/>
      <c r="AA77" s="51"/>
      <c r="AB77" s="51"/>
      <c r="AC77" s="51"/>
      <c r="AD77" s="51"/>
      <c r="AE77" s="51"/>
      <c r="AF77" s="51"/>
      <c r="AG77" s="51"/>
    </row>
  </sheetData>
  <mergeCells count="3">
    <mergeCell ref="A1:J1"/>
    <mergeCell ref="A18:J18"/>
    <mergeCell ref="A36:I36"/>
  </mergeCells>
  <phoneticPr fontId="7" type="noConversion"/>
  <conditionalFormatting sqref="B3:B14 C10:D11 I10:I11 F10:F11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14 C11:D11 I11 F11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1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B31 C27:E28 I27:I28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B31 C28:E28 I28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B31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B4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9 C12:C14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10 C12:C1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1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C26 C29:C31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C27 C29:C31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C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8:C4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9 D12:D1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10 D12:D1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1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:D26 D29:D31 E29 I29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:D27 D29:D31 E29 I29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:D31 E29 I29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:D4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:F14 I14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 F12 I12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:E26 E30:E31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:E27 E30:E31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:E28 E30:E3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:E4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9 F13:F14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10 F13:F1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11 F13:F1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0:F3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:F4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1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0:G3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:G4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1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0:H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:H4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 I3 F3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9 I13:I14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10 I13:I1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11 I13:I1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 I4 F4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 I5 F5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 I6 F6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 I7 F7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 I8 F8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 I9 F9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 I12 F1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 I13 F13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:I26 I30:I31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:I27 I30:I31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:I28 I30:I31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0:J3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7565-F433-4862-8587-6577AC7476B2}">
  <dimension ref="A1:I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4" sqref="A24"/>
    </sheetView>
  </sheetViews>
  <sheetFormatPr defaultColWidth="9.109375" defaultRowHeight="14.4" x14ac:dyDescent="0.3"/>
  <cols>
    <col min="1" max="1" width="36.44140625" style="17" customWidth="1"/>
    <col min="2" max="2" width="13.5546875" style="6" bestFit="1" customWidth="1"/>
    <col min="3" max="3" width="14.88671875" style="6" bestFit="1" customWidth="1"/>
    <col min="4" max="4" width="15.109375" style="6" bestFit="1" customWidth="1"/>
    <col min="5" max="5" width="13.44140625" style="6" bestFit="1" customWidth="1"/>
    <col min="6" max="6" width="13.6640625" style="6" bestFit="1" customWidth="1"/>
    <col min="7" max="7" width="11.6640625" style="6" bestFit="1" customWidth="1"/>
    <col min="8" max="8" width="20.5546875" style="6" bestFit="1" customWidth="1"/>
    <col min="9" max="9" width="13.33203125" style="6" bestFit="1" customWidth="1"/>
    <col min="10" max="16384" width="9.109375" style="6"/>
  </cols>
  <sheetData>
    <row r="1" spans="1:9" s="18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s="53" t="s">
        <v>27</v>
      </c>
      <c r="B2" s="3">
        <v>7</v>
      </c>
      <c r="C2" s="3">
        <v>3</v>
      </c>
      <c r="D2" s="3">
        <v>0</v>
      </c>
      <c r="E2" s="3">
        <v>0</v>
      </c>
      <c r="F2" s="3">
        <v>0</v>
      </c>
      <c r="G2" s="3">
        <v>3</v>
      </c>
      <c r="H2" s="3">
        <v>0</v>
      </c>
      <c r="I2" s="3">
        <v>0</v>
      </c>
    </row>
    <row r="3" spans="1:9" x14ac:dyDescent="0.3">
      <c r="A3" s="53" t="s">
        <v>28</v>
      </c>
      <c r="B3" s="3">
        <v>11</v>
      </c>
      <c r="C3" s="3">
        <v>9</v>
      </c>
      <c r="D3" s="3">
        <v>1</v>
      </c>
      <c r="E3" s="3">
        <v>1</v>
      </c>
      <c r="F3" s="3">
        <v>0</v>
      </c>
      <c r="G3" s="3">
        <v>7</v>
      </c>
      <c r="H3" s="3">
        <v>0</v>
      </c>
      <c r="I3" s="3">
        <v>0</v>
      </c>
    </row>
    <row r="4" spans="1:9" x14ac:dyDescent="0.3">
      <c r="A4" s="53" t="s">
        <v>29</v>
      </c>
      <c r="B4" s="3">
        <v>12</v>
      </c>
      <c r="C4" s="3">
        <v>13</v>
      </c>
      <c r="D4" s="3">
        <v>3</v>
      </c>
      <c r="E4" s="3">
        <v>5</v>
      </c>
      <c r="F4" s="3">
        <v>0</v>
      </c>
      <c r="G4" s="3">
        <v>5</v>
      </c>
      <c r="H4" s="3">
        <v>0</v>
      </c>
      <c r="I4" s="3">
        <v>0</v>
      </c>
    </row>
    <row r="5" spans="1:9" x14ac:dyDescent="0.3">
      <c r="A5" s="53" t="s">
        <v>30</v>
      </c>
      <c r="B5" s="3">
        <v>19</v>
      </c>
      <c r="C5" s="3">
        <v>5</v>
      </c>
      <c r="D5" s="3">
        <v>0</v>
      </c>
      <c r="E5" s="3">
        <v>0</v>
      </c>
      <c r="F5" s="3">
        <v>0</v>
      </c>
      <c r="G5" s="3">
        <v>5</v>
      </c>
      <c r="H5" s="3">
        <v>0</v>
      </c>
      <c r="I5" s="3">
        <v>0</v>
      </c>
    </row>
    <row r="6" spans="1:9" x14ac:dyDescent="0.3">
      <c r="A6" s="53" t="s">
        <v>31</v>
      </c>
      <c r="B6" s="3">
        <v>7</v>
      </c>
      <c r="C6" s="3">
        <v>8</v>
      </c>
      <c r="D6" s="3">
        <v>3</v>
      </c>
      <c r="E6" s="3">
        <v>0</v>
      </c>
      <c r="F6" s="3">
        <v>0</v>
      </c>
      <c r="G6" s="3">
        <v>5</v>
      </c>
      <c r="H6" s="3">
        <v>0</v>
      </c>
      <c r="I6" s="3">
        <v>0</v>
      </c>
    </row>
    <row r="7" spans="1:9" x14ac:dyDescent="0.3">
      <c r="A7" s="53" t="s">
        <v>32</v>
      </c>
      <c r="B7" s="3">
        <v>10</v>
      </c>
      <c r="C7" s="3">
        <v>13</v>
      </c>
      <c r="D7" s="3">
        <v>1</v>
      </c>
      <c r="E7" s="3">
        <v>1</v>
      </c>
      <c r="F7" s="3">
        <v>1</v>
      </c>
      <c r="G7" s="3">
        <v>10</v>
      </c>
      <c r="H7" s="3">
        <v>0</v>
      </c>
      <c r="I7" s="3">
        <v>0</v>
      </c>
    </row>
    <row r="8" spans="1:9" x14ac:dyDescent="0.3">
      <c r="A8" s="53" t="s">
        <v>33</v>
      </c>
      <c r="B8" s="3">
        <v>14</v>
      </c>
      <c r="C8" s="3">
        <v>13</v>
      </c>
      <c r="D8" s="3">
        <v>0</v>
      </c>
      <c r="E8" s="3">
        <v>0</v>
      </c>
      <c r="F8" s="3">
        <v>5</v>
      </c>
      <c r="G8" s="3">
        <v>8</v>
      </c>
      <c r="H8" s="3">
        <v>0</v>
      </c>
      <c r="I8" s="3">
        <v>0</v>
      </c>
    </row>
    <row r="9" spans="1:9" x14ac:dyDescent="0.3">
      <c r="A9" s="53" t="s">
        <v>34</v>
      </c>
      <c r="B9" s="3">
        <v>12</v>
      </c>
      <c r="C9" s="3">
        <v>8</v>
      </c>
      <c r="D9" s="3">
        <v>4</v>
      </c>
      <c r="E9" s="3">
        <v>0</v>
      </c>
      <c r="F9" s="3">
        <v>0</v>
      </c>
      <c r="G9" s="3">
        <v>4</v>
      </c>
      <c r="H9" s="3">
        <v>0</v>
      </c>
      <c r="I9" s="3">
        <v>0</v>
      </c>
    </row>
    <row r="10" spans="1:9" x14ac:dyDescent="0.3">
      <c r="A10" s="53" t="s">
        <v>35</v>
      </c>
      <c r="B10" s="3">
        <v>7</v>
      </c>
      <c r="C10" s="3">
        <v>6</v>
      </c>
      <c r="D10" s="3">
        <v>0</v>
      </c>
      <c r="E10" s="3">
        <v>0</v>
      </c>
      <c r="F10" s="3">
        <v>1</v>
      </c>
      <c r="G10" s="3">
        <v>5</v>
      </c>
      <c r="H10" s="3">
        <v>0</v>
      </c>
      <c r="I10" s="3">
        <v>0</v>
      </c>
    </row>
    <row r="11" spans="1:9" x14ac:dyDescent="0.3">
      <c r="A11" s="53" t="s">
        <v>36</v>
      </c>
      <c r="B11" s="3">
        <v>9</v>
      </c>
      <c r="C11" s="3">
        <v>8</v>
      </c>
      <c r="D11" s="3">
        <v>0</v>
      </c>
      <c r="E11" s="3">
        <v>0</v>
      </c>
      <c r="F11" s="3">
        <v>4</v>
      </c>
      <c r="G11" s="3">
        <v>3</v>
      </c>
      <c r="H11" s="3">
        <v>0</v>
      </c>
      <c r="I11" s="3">
        <v>1</v>
      </c>
    </row>
    <row r="12" spans="1:9" x14ac:dyDescent="0.3">
      <c r="A12" s="53" t="s">
        <v>37</v>
      </c>
      <c r="B12" s="3">
        <v>14</v>
      </c>
      <c r="C12" s="3">
        <v>13</v>
      </c>
      <c r="D12" s="3">
        <v>1</v>
      </c>
      <c r="E12" s="3">
        <v>0</v>
      </c>
      <c r="F12" s="3">
        <v>3</v>
      </c>
      <c r="G12" s="3">
        <v>9</v>
      </c>
      <c r="H12" s="3">
        <v>0</v>
      </c>
      <c r="I12" s="3">
        <v>0</v>
      </c>
    </row>
    <row r="13" spans="1:9" x14ac:dyDescent="0.3">
      <c r="A13" s="53" t="s">
        <v>38</v>
      </c>
      <c r="B13" s="3">
        <v>8</v>
      </c>
      <c r="C13" s="3">
        <v>10</v>
      </c>
      <c r="D13" s="3">
        <v>1</v>
      </c>
      <c r="E13" s="3">
        <v>0</v>
      </c>
      <c r="F13" s="3">
        <v>3</v>
      </c>
      <c r="G13" s="3">
        <v>6</v>
      </c>
      <c r="H13" s="3">
        <v>0</v>
      </c>
      <c r="I13" s="3">
        <v>0</v>
      </c>
    </row>
    <row r="14" spans="1:9" x14ac:dyDescent="0.3">
      <c r="A14" s="53" t="s">
        <v>39</v>
      </c>
      <c r="B14" s="3">
        <v>7</v>
      </c>
      <c r="C14" s="3">
        <v>8</v>
      </c>
      <c r="D14" s="3">
        <v>1</v>
      </c>
      <c r="E14" s="3">
        <v>0</v>
      </c>
      <c r="F14" s="3">
        <v>0</v>
      </c>
      <c r="G14" s="3">
        <v>7</v>
      </c>
      <c r="H14" s="3">
        <v>0</v>
      </c>
      <c r="I14" s="3">
        <v>0</v>
      </c>
    </row>
    <row r="15" spans="1:9" x14ac:dyDescent="0.3">
      <c r="A15" s="53" t="s">
        <v>40</v>
      </c>
      <c r="B15" s="3">
        <v>7</v>
      </c>
      <c r="C15" s="3">
        <v>6</v>
      </c>
      <c r="D15" s="3">
        <v>0</v>
      </c>
      <c r="E15" s="3">
        <v>0</v>
      </c>
      <c r="F15" s="3">
        <v>2</v>
      </c>
      <c r="G15" s="3">
        <v>4</v>
      </c>
      <c r="H15" s="3">
        <v>0</v>
      </c>
      <c r="I15" s="3">
        <v>0</v>
      </c>
    </row>
    <row r="16" spans="1:9" x14ac:dyDescent="0.3">
      <c r="A16" s="53" t="s">
        <v>41</v>
      </c>
      <c r="B16" s="3">
        <v>4</v>
      </c>
      <c r="C16" s="3">
        <v>4</v>
      </c>
      <c r="D16" s="3">
        <v>0</v>
      </c>
      <c r="E16" s="3">
        <v>0</v>
      </c>
      <c r="F16" s="3">
        <v>3</v>
      </c>
      <c r="G16" s="3">
        <v>1</v>
      </c>
      <c r="H16" s="3">
        <v>0</v>
      </c>
      <c r="I16" s="3">
        <v>0</v>
      </c>
    </row>
    <row r="17" spans="1:9" x14ac:dyDescent="0.3">
      <c r="A17" s="53" t="s">
        <v>42</v>
      </c>
      <c r="B17" s="3">
        <v>5</v>
      </c>
      <c r="C17" s="3">
        <v>7</v>
      </c>
      <c r="D17" s="3">
        <v>0</v>
      </c>
      <c r="E17" s="3">
        <v>0</v>
      </c>
      <c r="F17" s="3">
        <v>4</v>
      </c>
      <c r="G17" s="3">
        <v>3</v>
      </c>
      <c r="H17" s="3">
        <v>0</v>
      </c>
      <c r="I17" s="3">
        <v>0</v>
      </c>
    </row>
    <row r="18" spans="1:9" x14ac:dyDescent="0.3">
      <c r="A18" s="53" t="s">
        <v>43</v>
      </c>
      <c r="B18" s="3">
        <v>8</v>
      </c>
      <c r="C18" s="3">
        <v>21</v>
      </c>
      <c r="D18" s="3">
        <v>2</v>
      </c>
      <c r="E18" s="3">
        <v>0</v>
      </c>
      <c r="F18" s="3">
        <v>1</v>
      </c>
      <c r="G18" s="3">
        <v>11</v>
      </c>
      <c r="H18" s="3">
        <v>0</v>
      </c>
      <c r="I18" s="3">
        <v>7</v>
      </c>
    </row>
    <row r="19" spans="1:9" x14ac:dyDescent="0.3">
      <c r="A19" s="53" t="s">
        <v>44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</row>
    <row r="20" spans="1:9" x14ac:dyDescent="0.3">
      <c r="A20" s="53" t="s">
        <v>45</v>
      </c>
      <c r="B20" s="3">
        <v>25</v>
      </c>
      <c r="C20" s="3">
        <v>9</v>
      </c>
      <c r="D20" s="3">
        <v>1</v>
      </c>
      <c r="E20" s="3">
        <v>0</v>
      </c>
      <c r="F20" s="3">
        <v>0</v>
      </c>
      <c r="G20" s="3">
        <v>8</v>
      </c>
      <c r="H20" s="3">
        <v>0</v>
      </c>
      <c r="I20" s="3">
        <v>0</v>
      </c>
    </row>
    <row r="21" spans="1:9" x14ac:dyDescent="0.3">
      <c r="A21" s="53" t="s">
        <v>46</v>
      </c>
      <c r="B21" s="3">
        <v>5</v>
      </c>
      <c r="C21" s="3">
        <v>4</v>
      </c>
      <c r="D21" s="3">
        <v>0</v>
      </c>
      <c r="E21" s="3">
        <v>0</v>
      </c>
      <c r="F21" s="3">
        <v>2</v>
      </c>
      <c r="G21" s="3">
        <v>2</v>
      </c>
      <c r="H21" s="3">
        <v>0</v>
      </c>
      <c r="I21" s="3">
        <v>0</v>
      </c>
    </row>
    <row r="22" spans="1:9" x14ac:dyDescent="0.3">
      <c r="A22" s="53" t="s">
        <v>47</v>
      </c>
      <c r="B22" s="3">
        <v>9</v>
      </c>
      <c r="C22" s="3">
        <v>9</v>
      </c>
      <c r="D22" s="3">
        <v>0</v>
      </c>
      <c r="E22" s="3">
        <v>2</v>
      </c>
      <c r="F22" s="3">
        <v>5</v>
      </c>
      <c r="G22" s="3">
        <v>2</v>
      </c>
      <c r="H22" s="3">
        <v>0</v>
      </c>
      <c r="I22" s="3">
        <v>0</v>
      </c>
    </row>
    <row r="23" spans="1:9" x14ac:dyDescent="0.3">
      <c r="A23" s="53" t="s">
        <v>48</v>
      </c>
      <c r="B23" s="3">
        <v>3</v>
      </c>
      <c r="C23" s="3">
        <v>11</v>
      </c>
      <c r="D23" s="3">
        <v>1</v>
      </c>
      <c r="E23" s="3">
        <v>2</v>
      </c>
      <c r="F23" s="3">
        <v>0</v>
      </c>
      <c r="G23" s="3">
        <v>8</v>
      </c>
      <c r="H23" s="3">
        <v>0</v>
      </c>
      <c r="I23" s="3">
        <v>0</v>
      </c>
    </row>
    <row r="24" spans="1:9" ht="18" x14ac:dyDescent="0.35">
      <c r="A24" s="4" t="s">
        <v>152</v>
      </c>
      <c r="B24" s="1">
        <f t="shared" ref="B24:I24" si="0">AVERAGE(B2:B23)</f>
        <v>9.2272727272727266</v>
      </c>
      <c r="C24" s="1">
        <f t="shared" si="0"/>
        <v>8.545454545454545</v>
      </c>
      <c r="D24" s="1">
        <f t="shared" si="0"/>
        <v>0.86363636363636365</v>
      </c>
      <c r="E24" s="1">
        <f t="shared" si="0"/>
        <v>0.5</v>
      </c>
      <c r="F24" s="1">
        <f t="shared" si="0"/>
        <v>1.5454545454545454</v>
      </c>
      <c r="G24" s="1">
        <f t="shared" si="0"/>
        <v>5.2727272727272725</v>
      </c>
      <c r="H24" s="1">
        <f t="shared" si="0"/>
        <v>0</v>
      </c>
      <c r="I24" s="1">
        <f t="shared" si="0"/>
        <v>0.36363636363636365</v>
      </c>
    </row>
    <row r="25" spans="1:9" ht="18" x14ac:dyDescent="0.35">
      <c r="A25" s="7" t="s">
        <v>49</v>
      </c>
      <c r="B25" s="8">
        <f>SUM(B2:B23)</f>
        <v>203</v>
      </c>
      <c r="C25" s="8">
        <f t="shared" ref="C25:I25" si="1">SUM(C2:C23)</f>
        <v>188</v>
      </c>
      <c r="D25" s="8">
        <f t="shared" si="1"/>
        <v>19</v>
      </c>
      <c r="E25" s="8">
        <f t="shared" si="1"/>
        <v>11</v>
      </c>
      <c r="F25" s="8">
        <f t="shared" si="1"/>
        <v>34</v>
      </c>
      <c r="G25" s="8">
        <f t="shared" si="1"/>
        <v>116</v>
      </c>
      <c r="H25" s="8">
        <f t="shared" si="1"/>
        <v>0</v>
      </c>
      <c r="I25" s="8">
        <f t="shared" si="1"/>
        <v>8</v>
      </c>
    </row>
    <row r="26" spans="1:9" ht="18" x14ac:dyDescent="0.35">
      <c r="A26" s="10" t="s">
        <v>50</v>
      </c>
      <c r="D26" s="9">
        <f>(D25*100)/C25</f>
        <v>10.106382978723405</v>
      </c>
      <c r="E26" s="9">
        <f>(E25*100)/C25</f>
        <v>5.8510638297872344</v>
      </c>
      <c r="F26" s="9">
        <f>(F25*100)/C25</f>
        <v>18.085106382978722</v>
      </c>
      <c r="G26" s="9">
        <f>(G25*100)/C25</f>
        <v>61.702127659574465</v>
      </c>
      <c r="H26" s="9">
        <f>(H25*100)/C25</f>
        <v>0</v>
      </c>
      <c r="I26" s="9">
        <f>(I25*100)/C25</f>
        <v>4.2553191489361701</v>
      </c>
    </row>
  </sheetData>
  <autoFilter ref="A1:I23" xr:uid="{82827565-F433-4862-8587-6577AC7476B2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0" sqref="A20"/>
    </sheetView>
  </sheetViews>
  <sheetFormatPr defaultRowHeight="14.4" x14ac:dyDescent="0.3"/>
  <cols>
    <col min="1" max="1" width="25.109375" style="21" customWidth="1"/>
    <col min="2" max="2" width="12.5546875" bestFit="1" customWidth="1"/>
    <col min="3" max="3" width="13.6640625" bestFit="1" customWidth="1"/>
    <col min="4" max="4" width="14" bestFit="1" customWidth="1"/>
    <col min="5" max="5" width="12.44140625" bestFit="1" customWidth="1"/>
    <col min="6" max="6" width="12.6640625" bestFit="1" customWidth="1"/>
    <col min="7" max="7" width="11" bestFit="1" customWidth="1"/>
    <col min="8" max="8" width="18.6640625" bestFit="1" customWidth="1"/>
    <col min="9" max="9" width="12.33203125" bestFit="1" customWidth="1"/>
  </cols>
  <sheetData>
    <row r="1" spans="1:9" s="2" customFormat="1" ht="16.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s="3" t="s">
        <v>9</v>
      </c>
      <c r="B2" s="3">
        <v>2</v>
      </c>
      <c r="C2" s="3">
        <v>5</v>
      </c>
      <c r="D2" s="3">
        <v>0</v>
      </c>
      <c r="E2" s="3">
        <v>4</v>
      </c>
      <c r="F2" s="3">
        <v>0</v>
      </c>
      <c r="G2" s="3">
        <v>1</v>
      </c>
      <c r="H2" s="3">
        <v>0</v>
      </c>
      <c r="I2" s="3">
        <v>0</v>
      </c>
    </row>
    <row r="3" spans="1:9" x14ac:dyDescent="0.3">
      <c r="A3" s="3" t="s">
        <v>10</v>
      </c>
      <c r="B3" s="3">
        <v>4</v>
      </c>
      <c r="C3" s="3">
        <v>5</v>
      </c>
      <c r="D3" s="3">
        <v>2</v>
      </c>
      <c r="E3" s="3">
        <v>0</v>
      </c>
      <c r="F3" s="3">
        <v>2</v>
      </c>
      <c r="G3" s="3">
        <v>1</v>
      </c>
      <c r="H3" s="3">
        <v>0</v>
      </c>
      <c r="I3" s="3">
        <v>0</v>
      </c>
    </row>
    <row r="4" spans="1:9" x14ac:dyDescent="0.3">
      <c r="A4" s="3" t="s">
        <v>11</v>
      </c>
      <c r="B4" s="3">
        <v>14</v>
      </c>
      <c r="C4" s="3">
        <v>10</v>
      </c>
      <c r="D4" s="3">
        <v>1</v>
      </c>
      <c r="E4" s="3">
        <v>4</v>
      </c>
      <c r="F4" s="3">
        <v>3</v>
      </c>
      <c r="G4" s="3">
        <v>2</v>
      </c>
      <c r="H4" s="3">
        <v>0</v>
      </c>
      <c r="I4" s="3">
        <v>0</v>
      </c>
    </row>
    <row r="5" spans="1:9" x14ac:dyDescent="0.3">
      <c r="A5" s="3" t="s">
        <v>12</v>
      </c>
      <c r="B5" s="3">
        <v>11</v>
      </c>
      <c r="C5" s="3">
        <v>4</v>
      </c>
      <c r="D5" s="3">
        <v>0</v>
      </c>
      <c r="E5" s="3">
        <v>1</v>
      </c>
      <c r="F5" s="3">
        <v>2</v>
      </c>
      <c r="G5" s="3">
        <v>1</v>
      </c>
      <c r="H5" s="3">
        <v>0</v>
      </c>
      <c r="I5" s="3">
        <v>0</v>
      </c>
    </row>
    <row r="6" spans="1:9" x14ac:dyDescent="0.3">
      <c r="A6" s="3" t="s">
        <v>13</v>
      </c>
      <c r="B6" s="3">
        <v>9</v>
      </c>
      <c r="C6" s="3">
        <v>13</v>
      </c>
      <c r="D6" s="3">
        <v>0</v>
      </c>
      <c r="E6" s="3">
        <v>1</v>
      </c>
      <c r="F6" s="3">
        <v>5</v>
      </c>
      <c r="G6" s="3">
        <v>7</v>
      </c>
      <c r="H6" s="3">
        <v>0</v>
      </c>
      <c r="I6" s="3">
        <v>0</v>
      </c>
    </row>
    <row r="7" spans="1:9" x14ac:dyDescent="0.3">
      <c r="A7" s="3" t="s">
        <v>14</v>
      </c>
      <c r="B7" s="3">
        <v>19</v>
      </c>
      <c r="C7" s="3">
        <v>16</v>
      </c>
      <c r="D7" s="3">
        <v>1</v>
      </c>
      <c r="E7" s="3">
        <v>3</v>
      </c>
      <c r="F7" s="3">
        <v>3</v>
      </c>
      <c r="G7" s="3">
        <v>9</v>
      </c>
      <c r="H7" s="3">
        <v>0</v>
      </c>
      <c r="I7" s="3">
        <v>0</v>
      </c>
    </row>
    <row r="8" spans="1:9" x14ac:dyDescent="0.3">
      <c r="A8" s="3" t="s">
        <v>15</v>
      </c>
      <c r="B8" s="3">
        <v>11</v>
      </c>
      <c r="C8" s="3">
        <v>10</v>
      </c>
      <c r="D8" s="3">
        <v>2</v>
      </c>
      <c r="E8" s="3">
        <v>3</v>
      </c>
      <c r="F8" s="3">
        <v>2</v>
      </c>
      <c r="G8" s="3">
        <v>3</v>
      </c>
      <c r="H8" s="3">
        <v>0</v>
      </c>
      <c r="I8" s="3">
        <v>0</v>
      </c>
    </row>
    <row r="9" spans="1:9" x14ac:dyDescent="0.3">
      <c r="A9" s="3" t="s">
        <v>16</v>
      </c>
      <c r="B9" s="3">
        <v>15</v>
      </c>
      <c r="C9" s="3">
        <v>12</v>
      </c>
      <c r="D9" s="3">
        <v>1</v>
      </c>
      <c r="E9" s="3">
        <v>1</v>
      </c>
      <c r="F9" s="3">
        <v>3</v>
      </c>
      <c r="G9" s="3">
        <v>7</v>
      </c>
      <c r="H9" s="3">
        <v>0</v>
      </c>
      <c r="I9" s="3">
        <v>0</v>
      </c>
    </row>
    <row r="10" spans="1:9" x14ac:dyDescent="0.3">
      <c r="A10" s="3" t="s">
        <v>17</v>
      </c>
      <c r="B10" s="3">
        <v>13</v>
      </c>
      <c r="C10" s="3">
        <v>10</v>
      </c>
      <c r="D10" s="3">
        <v>0</v>
      </c>
      <c r="E10" s="3">
        <v>1</v>
      </c>
      <c r="F10" s="3">
        <v>1</v>
      </c>
      <c r="G10" s="3">
        <v>6</v>
      </c>
      <c r="H10" s="3">
        <v>0</v>
      </c>
      <c r="I10" s="3">
        <v>2</v>
      </c>
    </row>
    <row r="11" spans="1:9" x14ac:dyDescent="0.3">
      <c r="A11" s="3" t="s">
        <v>18</v>
      </c>
      <c r="B11" s="3">
        <v>12</v>
      </c>
      <c r="C11" s="3">
        <v>18</v>
      </c>
      <c r="D11" s="3">
        <v>0</v>
      </c>
      <c r="E11" s="3">
        <v>0</v>
      </c>
      <c r="F11" s="3">
        <v>4</v>
      </c>
      <c r="G11" s="3">
        <v>12</v>
      </c>
      <c r="H11" s="3">
        <v>0</v>
      </c>
      <c r="I11" s="3">
        <v>2</v>
      </c>
    </row>
    <row r="12" spans="1:9" x14ac:dyDescent="0.3">
      <c r="A12" s="3" t="s">
        <v>19</v>
      </c>
      <c r="B12" s="3">
        <v>5</v>
      </c>
      <c r="C12" s="3">
        <v>7</v>
      </c>
      <c r="D12" s="3">
        <v>0</v>
      </c>
      <c r="E12" s="3">
        <v>5</v>
      </c>
      <c r="F12" s="3">
        <v>1</v>
      </c>
      <c r="G12" s="3">
        <v>1</v>
      </c>
      <c r="H12" s="3">
        <v>0</v>
      </c>
      <c r="I12" s="3">
        <v>0</v>
      </c>
    </row>
    <row r="13" spans="1:9" x14ac:dyDescent="0.3">
      <c r="A13" s="3" t="s">
        <v>20</v>
      </c>
      <c r="B13" s="3">
        <v>13</v>
      </c>
      <c r="C13" s="3">
        <v>9</v>
      </c>
      <c r="D13" s="3">
        <v>0</v>
      </c>
      <c r="E13" s="3">
        <v>2</v>
      </c>
      <c r="F13" s="3">
        <v>1</v>
      </c>
      <c r="G13" s="3">
        <v>6</v>
      </c>
      <c r="H13" s="3">
        <v>0</v>
      </c>
      <c r="I13" s="3">
        <v>0</v>
      </c>
    </row>
    <row r="14" spans="1:9" x14ac:dyDescent="0.3">
      <c r="A14" s="3" t="s">
        <v>21</v>
      </c>
      <c r="B14" s="3">
        <v>10</v>
      </c>
      <c r="C14" s="3">
        <v>12</v>
      </c>
      <c r="D14" s="3">
        <v>3</v>
      </c>
      <c r="E14" s="3">
        <v>0</v>
      </c>
      <c r="F14" s="3">
        <v>1</v>
      </c>
      <c r="G14" s="3">
        <v>8</v>
      </c>
      <c r="H14" s="3">
        <v>0</v>
      </c>
      <c r="I14" s="3">
        <v>0</v>
      </c>
    </row>
    <row r="15" spans="1:9" x14ac:dyDescent="0.3">
      <c r="A15" s="3" t="s">
        <v>22</v>
      </c>
      <c r="B15" s="3">
        <v>5</v>
      </c>
      <c r="C15" s="3">
        <v>6</v>
      </c>
      <c r="D15" s="3">
        <v>0</v>
      </c>
      <c r="E15" s="3">
        <v>0</v>
      </c>
      <c r="F15" s="3">
        <v>3</v>
      </c>
      <c r="G15" s="3">
        <v>3</v>
      </c>
      <c r="H15" s="3">
        <v>0</v>
      </c>
      <c r="I15" s="3">
        <v>0</v>
      </c>
    </row>
    <row r="16" spans="1:9" x14ac:dyDescent="0.3">
      <c r="A16" s="3" t="s">
        <v>23</v>
      </c>
      <c r="B16" s="3">
        <v>12</v>
      </c>
      <c r="C16" s="3">
        <v>11</v>
      </c>
      <c r="D16" s="3">
        <v>1</v>
      </c>
      <c r="E16" s="3">
        <v>2</v>
      </c>
      <c r="F16" s="3">
        <v>4</v>
      </c>
      <c r="G16" s="3">
        <v>4</v>
      </c>
      <c r="H16" s="3">
        <v>0</v>
      </c>
      <c r="I16" s="3">
        <v>0</v>
      </c>
    </row>
    <row r="17" spans="1:9" x14ac:dyDescent="0.3">
      <c r="A17" s="3" t="s">
        <v>24</v>
      </c>
      <c r="B17" s="3">
        <v>7</v>
      </c>
      <c r="C17" s="3">
        <v>8</v>
      </c>
      <c r="D17" s="3">
        <v>1</v>
      </c>
      <c r="E17" s="3">
        <v>0</v>
      </c>
      <c r="F17" s="3">
        <v>1</v>
      </c>
      <c r="G17" s="3">
        <v>6</v>
      </c>
      <c r="H17" s="3">
        <v>0</v>
      </c>
      <c r="I17" s="3">
        <v>0</v>
      </c>
    </row>
    <row r="18" spans="1:9" x14ac:dyDescent="0.3">
      <c r="A18" s="3" t="s">
        <v>25</v>
      </c>
      <c r="B18" s="3">
        <v>13</v>
      </c>
      <c r="C18" s="3">
        <v>14</v>
      </c>
      <c r="D18" s="3">
        <v>2</v>
      </c>
      <c r="E18" s="3">
        <v>0</v>
      </c>
      <c r="F18" s="3">
        <v>1</v>
      </c>
      <c r="G18" s="3">
        <v>10</v>
      </c>
      <c r="H18" s="3">
        <v>0</v>
      </c>
      <c r="I18" s="3">
        <v>1</v>
      </c>
    </row>
    <row r="19" spans="1:9" x14ac:dyDescent="0.3">
      <c r="A19" s="3" t="s">
        <v>26</v>
      </c>
      <c r="B19" s="3">
        <v>17</v>
      </c>
      <c r="C19" s="3">
        <v>21</v>
      </c>
      <c r="D19" s="3">
        <v>3</v>
      </c>
      <c r="E19" s="3">
        <v>4</v>
      </c>
      <c r="F19" s="3">
        <v>5</v>
      </c>
      <c r="G19" s="3">
        <v>9</v>
      </c>
      <c r="H19" s="3">
        <v>0</v>
      </c>
      <c r="I19" s="3">
        <v>0</v>
      </c>
    </row>
    <row r="20" spans="1:9" ht="18" x14ac:dyDescent="0.35">
      <c r="A20" s="4" t="s">
        <v>152</v>
      </c>
      <c r="B20" s="1">
        <f>AVERAGE(B2:B19)</f>
        <v>10.666666666666666</v>
      </c>
      <c r="C20" s="1">
        <f t="shared" ref="C20:I20" si="0">AVERAGE(C2:C19)</f>
        <v>10.611111111111111</v>
      </c>
      <c r="D20" s="1">
        <f t="shared" si="0"/>
        <v>0.94444444444444442</v>
      </c>
      <c r="E20" s="1">
        <f t="shared" si="0"/>
        <v>1.7222222222222223</v>
      </c>
      <c r="F20" s="1">
        <f t="shared" si="0"/>
        <v>2.3333333333333335</v>
      </c>
      <c r="G20" s="1">
        <f t="shared" si="0"/>
        <v>5.333333333333333</v>
      </c>
      <c r="H20" s="1">
        <f t="shared" si="0"/>
        <v>0</v>
      </c>
      <c r="I20" s="1">
        <f t="shared" si="0"/>
        <v>0.27777777777777779</v>
      </c>
    </row>
    <row r="21" spans="1:9" ht="18" x14ac:dyDescent="0.35">
      <c r="A21" s="7" t="s">
        <v>49</v>
      </c>
      <c r="B21" s="8">
        <f>SUM(B2:B19)</f>
        <v>192</v>
      </c>
      <c r="C21" s="8">
        <f t="shared" ref="C21:I21" si="1">SUM(C2:C19)</f>
        <v>191</v>
      </c>
      <c r="D21" s="8">
        <f t="shared" si="1"/>
        <v>17</v>
      </c>
      <c r="E21" s="8">
        <f t="shared" si="1"/>
        <v>31</v>
      </c>
      <c r="F21" s="8">
        <f t="shared" si="1"/>
        <v>42</v>
      </c>
      <c r="G21" s="8">
        <f t="shared" si="1"/>
        <v>96</v>
      </c>
      <c r="H21" s="8">
        <f t="shared" si="1"/>
        <v>0</v>
      </c>
      <c r="I21" s="8">
        <f t="shared" si="1"/>
        <v>5</v>
      </c>
    </row>
    <row r="22" spans="1:9" ht="18" x14ac:dyDescent="0.35">
      <c r="A22" s="10" t="s">
        <v>50</v>
      </c>
      <c r="B22" s="6"/>
      <c r="C22" s="6"/>
      <c r="D22" s="9">
        <f>(D21*100)/C21</f>
        <v>8.9005235602094235</v>
      </c>
      <c r="E22" s="9">
        <f>(E21*100)/C21</f>
        <v>16.230366492146597</v>
      </c>
      <c r="F22" s="9">
        <f>(F21*100)/C21</f>
        <v>21.98952879581152</v>
      </c>
      <c r="G22" s="9">
        <f>(G21*100)/C21</f>
        <v>50.261780104712045</v>
      </c>
      <c r="H22" s="9">
        <f>(H21*100)/C21</f>
        <v>0</v>
      </c>
      <c r="I22" s="9">
        <f>(I21*100)/C21</f>
        <v>2.6178010471204187</v>
      </c>
    </row>
  </sheetData>
  <autoFilter ref="A1:I20" xr:uid="{00000000-0001-0000-0000-000000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48CD-508F-451C-BDFF-F256C0A07973}">
  <dimension ref="A1:I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6" sqref="A26"/>
    </sheetView>
  </sheetViews>
  <sheetFormatPr defaultColWidth="9.109375" defaultRowHeight="14.4" x14ac:dyDescent="0.3"/>
  <cols>
    <col min="1" max="1" width="20.44140625" style="17" customWidth="1"/>
    <col min="2" max="2" width="15.44140625" style="15" customWidth="1"/>
    <col min="3" max="3" width="14.88671875" style="15" bestFit="1" customWidth="1"/>
    <col min="4" max="4" width="15.109375" style="15" bestFit="1" customWidth="1"/>
    <col min="5" max="5" width="16" style="15" customWidth="1"/>
    <col min="6" max="6" width="14" style="15" customWidth="1"/>
    <col min="7" max="7" width="16" style="15" customWidth="1"/>
    <col min="8" max="8" width="20.5546875" style="15" bestFit="1" customWidth="1"/>
    <col min="9" max="9" width="15.44140625" style="15" customWidth="1"/>
    <col min="10" max="16384" width="9.109375" style="6"/>
  </cols>
  <sheetData>
    <row r="1" spans="1:9" s="18" customFormat="1" x14ac:dyDescent="0.3">
      <c r="A1" s="5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</row>
    <row r="2" spans="1:9" x14ac:dyDescent="0.3">
      <c r="A2" s="3" t="s">
        <v>65</v>
      </c>
      <c r="B2" s="3">
        <v>20</v>
      </c>
      <c r="C2" s="3">
        <v>20</v>
      </c>
      <c r="D2" s="3">
        <v>0</v>
      </c>
      <c r="E2" s="3">
        <v>7</v>
      </c>
      <c r="F2" s="3">
        <v>3</v>
      </c>
      <c r="G2" s="3">
        <v>10</v>
      </c>
      <c r="H2" s="3">
        <v>0</v>
      </c>
      <c r="I2" s="3">
        <v>0</v>
      </c>
    </row>
    <row r="3" spans="1:9" x14ac:dyDescent="0.3">
      <c r="A3" s="3" t="s">
        <v>66</v>
      </c>
      <c r="B3" s="3">
        <v>16</v>
      </c>
      <c r="C3" s="3">
        <v>15</v>
      </c>
      <c r="D3" s="3">
        <v>0</v>
      </c>
      <c r="E3" s="3">
        <v>1</v>
      </c>
      <c r="F3" s="3">
        <v>4</v>
      </c>
      <c r="G3" s="3">
        <v>10</v>
      </c>
      <c r="H3" s="3">
        <v>0</v>
      </c>
      <c r="I3" s="3">
        <v>0</v>
      </c>
    </row>
    <row r="4" spans="1:9" x14ac:dyDescent="0.3">
      <c r="A4" s="3" t="s">
        <v>67</v>
      </c>
      <c r="B4" s="3">
        <v>26</v>
      </c>
      <c r="C4" s="3">
        <v>13</v>
      </c>
      <c r="D4" s="3">
        <v>0</v>
      </c>
      <c r="E4" s="3">
        <v>3</v>
      </c>
      <c r="F4" s="3">
        <v>2</v>
      </c>
      <c r="G4" s="3">
        <v>3</v>
      </c>
      <c r="H4" s="3">
        <v>0</v>
      </c>
      <c r="I4" s="3">
        <v>5</v>
      </c>
    </row>
    <row r="5" spans="1:9" x14ac:dyDescent="0.3">
      <c r="A5" s="3" t="s">
        <v>68</v>
      </c>
      <c r="B5" s="3">
        <v>7</v>
      </c>
      <c r="C5" s="3">
        <v>12</v>
      </c>
      <c r="D5" s="3">
        <v>0</v>
      </c>
      <c r="E5" s="3">
        <v>0</v>
      </c>
      <c r="F5" s="3">
        <v>6</v>
      </c>
      <c r="G5" s="3">
        <v>4</v>
      </c>
      <c r="H5" s="3">
        <v>0</v>
      </c>
      <c r="I5" s="3">
        <v>2</v>
      </c>
    </row>
    <row r="6" spans="1:9" x14ac:dyDescent="0.3">
      <c r="A6" s="3" t="s">
        <v>69</v>
      </c>
      <c r="B6" s="3">
        <v>11</v>
      </c>
      <c r="C6" s="3">
        <v>13</v>
      </c>
      <c r="D6" s="3">
        <v>4</v>
      </c>
      <c r="E6" s="3">
        <v>2</v>
      </c>
      <c r="F6" s="3">
        <v>4</v>
      </c>
      <c r="G6" s="3">
        <v>3</v>
      </c>
      <c r="H6" s="3">
        <v>0</v>
      </c>
      <c r="I6" s="3">
        <v>0</v>
      </c>
    </row>
    <row r="7" spans="1:9" x14ac:dyDescent="0.3">
      <c r="A7" s="3" t="s">
        <v>70</v>
      </c>
      <c r="B7" s="3">
        <v>11</v>
      </c>
      <c r="C7" s="3">
        <v>10</v>
      </c>
      <c r="D7" s="3">
        <v>0</v>
      </c>
      <c r="E7" s="3">
        <v>5</v>
      </c>
      <c r="F7" s="3">
        <v>1</v>
      </c>
      <c r="G7" s="3">
        <v>4</v>
      </c>
      <c r="H7" s="3">
        <v>0</v>
      </c>
      <c r="I7" s="3">
        <v>0</v>
      </c>
    </row>
    <row r="8" spans="1:9" x14ac:dyDescent="0.3">
      <c r="A8" s="3" t="s">
        <v>71</v>
      </c>
      <c r="B8" s="3">
        <v>8</v>
      </c>
      <c r="C8" s="3">
        <v>13</v>
      </c>
      <c r="D8" s="3">
        <v>2</v>
      </c>
      <c r="E8" s="3">
        <v>3</v>
      </c>
      <c r="F8" s="3">
        <v>3</v>
      </c>
      <c r="G8" s="3">
        <v>5</v>
      </c>
      <c r="H8" s="3">
        <v>0</v>
      </c>
      <c r="I8" s="3">
        <v>0</v>
      </c>
    </row>
    <row r="9" spans="1:9" x14ac:dyDescent="0.3">
      <c r="A9" s="3" t="s">
        <v>72</v>
      </c>
      <c r="B9" s="3">
        <v>4</v>
      </c>
      <c r="C9" s="3">
        <v>5</v>
      </c>
      <c r="D9" s="3">
        <v>1</v>
      </c>
      <c r="E9" s="3">
        <v>1</v>
      </c>
      <c r="F9" s="3">
        <v>1</v>
      </c>
      <c r="G9" s="3">
        <v>2</v>
      </c>
      <c r="H9" s="3">
        <v>0</v>
      </c>
      <c r="I9" s="3">
        <v>0</v>
      </c>
    </row>
    <row r="10" spans="1:9" x14ac:dyDescent="0.3">
      <c r="A10" s="3" t="s">
        <v>73</v>
      </c>
      <c r="B10" s="3">
        <v>13</v>
      </c>
      <c r="C10" s="3">
        <v>11</v>
      </c>
      <c r="D10" s="3">
        <v>2</v>
      </c>
      <c r="E10" s="3">
        <v>2</v>
      </c>
      <c r="F10" s="3">
        <v>0</v>
      </c>
      <c r="G10" s="3">
        <v>7</v>
      </c>
      <c r="H10" s="3">
        <v>0</v>
      </c>
      <c r="I10" s="3">
        <v>0</v>
      </c>
    </row>
    <row r="11" spans="1:9" x14ac:dyDescent="0.3">
      <c r="A11" s="3" t="s">
        <v>74</v>
      </c>
      <c r="B11" s="3">
        <v>12</v>
      </c>
      <c r="C11" s="3">
        <v>13</v>
      </c>
      <c r="D11" s="3">
        <v>0</v>
      </c>
      <c r="E11" s="3">
        <v>0</v>
      </c>
      <c r="F11" s="3">
        <v>3</v>
      </c>
      <c r="G11" s="3">
        <v>10</v>
      </c>
      <c r="H11" s="3">
        <v>0</v>
      </c>
      <c r="I11" s="3">
        <v>0</v>
      </c>
    </row>
    <row r="12" spans="1:9" x14ac:dyDescent="0.3">
      <c r="A12" s="3" t="s">
        <v>75</v>
      </c>
      <c r="B12" s="3">
        <v>11</v>
      </c>
      <c r="C12" s="3">
        <v>9</v>
      </c>
      <c r="D12" s="3">
        <v>0</v>
      </c>
      <c r="E12" s="3">
        <v>3</v>
      </c>
      <c r="F12" s="3">
        <v>4</v>
      </c>
      <c r="G12" s="3">
        <v>2</v>
      </c>
      <c r="H12" s="3">
        <v>0</v>
      </c>
      <c r="I12" s="3">
        <v>0</v>
      </c>
    </row>
    <row r="13" spans="1:9" x14ac:dyDescent="0.3">
      <c r="A13" s="3" t="s">
        <v>76</v>
      </c>
      <c r="B13" s="3">
        <v>9</v>
      </c>
      <c r="C13" s="3">
        <v>11</v>
      </c>
      <c r="D13" s="3">
        <v>0</v>
      </c>
      <c r="E13" s="3">
        <v>1</v>
      </c>
      <c r="F13" s="3">
        <v>4</v>
      </c>
      <c r="G13" s="3">
        <v>6</v>
      </c>
      <c r="H13" s="3">
        <v>0</v>
      </c>
      <c r="I13" s="3">
        <v>0</v>
      </c>
    </row>
    <row r="14" spans="1:9" x14ac:dyDescent="0.3">
      <c r="A14" s="3" t="s">
        <v>77</v>
      </c>
      <c r="B14" s="3">
        <v>14</v>
      </c>
      <c r="C14" s="3">
        <v>23</v>
      </c>
      <c r="D14" s="3">
        <v>2</v>
      </c>
      <c r="E14" s="3">
        <v>3</v>
      </c>
      <c r="F14" s="3">
        <v>7</v>
      </c>
      <c r="G14" s="3">
        <v>9</v>
      </c>
      <c r="H14" s="3">
        <v>0</v>
      </c>
      <c r="I14" s="3">
        <v>2</v>
      </c>
    </row>
    <row r="15" spans="1:9" x14ac:dyDescent="0.3">
      <c r="A15" s="3" t="s">
        <v>78</v>
      </c>
      <c r="B15" s="3">
        <v>3</v>
      </c>
      <c r="C15" s="3">
        <v>3</v>
      </c>
      <c r="D15" s="3">
        <v>0</v>
      </c>
      <c r="E15" s="3">
        <v>1</v>
      </c>
      <c r="F15" s="3">
        <v>1</v>
      </c>
      <c r="G15" s="3">
        <v>1</v>
      </c>
      <c r="H15" s="3">
        <v>0</v>
      </c>
      <c r="I15" s="3">
        <v>0</v>
      </c>
    </row>
    <row r="16" spans="1:9" x14ac:dyDescent="0.3">
      <c r="A16" s="3" t="s">
        <v>79</v>
      </c>
      <c r="B16" s="3">
        <v>13</v>
      </c>
      <c r="C16" s="3">
        <v>12</v>
      </c>
      <c r="D16" s="3">
        <v>3</v>
      </c>
      <c r="E16" s="3">
        <v>2</v>
      </c>
      <c r="F16" s="3">
        <v>0</v>
      </c>
      <c r="G16" s="3">
        <v>6</v>
      </c>
      <c r="H16" s="3">
        <v>0</v>
      </c>
      <c r="I16" s="3">
        <v>1</v>
      </c>
    </row>
    <row r="17" spans="1:9" x14ac:dyDescent="0.3">
      <c r="A17" s="3" t="s">
        <v>80</v>
      </c>
      <c r="B17" s="3">
        <v>16</v>
      </c>
      <c r="C17" s="3">
        <v>8</v>
      </c>
      <c r="D17" s="3">
        <v>1</v>
      </c>
      <c r="E17" s="3">
        <v>0</v>
      </c>
      <c r="F17" s="3">
        <v>2</v>
      </c>
      <c r="G17" s="3">
        <v>5</v>
      </c>
      <c r="H17" s="3">
        <v>0</v>
      </c>
      <c r="I17" s="3">
        <v>0</v>
      </c>
    </row>
    <row r="18" spans="1:9" x14ac:dyDescent="0.3">
      <c r="A18" s="3" t="s">
        <v>81</v>
      </c>
      <c r="B18" s="3">
        <v>10</v>
      </c>
      <c r="C18" s="3">
        <v>10</v>
      </c>
      <c r="D18" s="3">
        <v>3</v>
      </c>
      <c r="E18" s="3">
        <v>2</v>
      </c>
      <c r="F18" s="3">
        <v>3</v>
      </c>
      <c r="G18" s="3">
        <v>1</v>
      </c>
      <c r="H18" s="3">
        <v>0</v>
      </c>
      <c r="I18" s="3">
        <v>1</v>
      </c>
    </row>
    <row r="19" spans="1:9" x14ac:dyDescent="0.3">
      <c r="A19" s="3" t="s">
        <v>82</v>
      </c>
      <c r="B19" s="3">
        <v>21</v>
      </c>
      <c r="C19" s="3">
        <v>24</v>
      </c>
      <c r="D19" s="3">
        <v>0</v>
      </c>
      <c r="E19" s="3">
        <v>0</v>
      </c>
      <c r="F19" s="3">
        <v>3</v>
      </c>
      <c r="G19" s="3">
        <v>21</v>
      </c>
      <c r="H19" s="3">
        <v>0</v>
      </c>
      <c r="I19" s="3">
        <v>0</v>
      </c>
    </row>
    <row r="20" spans="1:9" x14ac:dyDescent="0.3">
      <c r="A20" s="3" t="s">
        <v>83</v>
      </c>
      <c r="B20" s="3">
        <v>10</v>
      </c>
      <c r="C20" s="3">
        <v>9</v>
      </c>
      <c r="D20" s="3">
        <v>1</v>
      </c>
      <c r="E20" s="3">
        <v>1</v>
      </c>
      <c r="F20" s="3">
        <v>1</v>
      </c>
      <c r="G20" s="3">
        <v>6</v>
      </c>
      <c r="H20" s="3">
        <v>0</v>
      </c>
      <c r="I20" s="3">
        <v>0</v>
      </c>
    </row>
    <row r="21" spans="1:9" x14ac:dyDescent="0.3">
      <c r="A21" s="3" t="s">
        <v>84</v>
      </c>
      <c r="B21" s="3">
        <v>9</v>
      </c>
      <c r="C21" s="3">
        <v>8</v>
      </c>
      <c r="D21" s="3">
        <v>2</v>
      </c>
      <c r="E21" s="3">
        <v>1</v>
      </c>
      <c r="F21" s="3">
        <v>0</v>
      </c>
      <c r="G21" s="3">
        <v>4</v>
      </c>
      <c r="H21" s="3">
        <v>0</v>
      </c>
      <c r="I21" s="3">
        <v>1</v>
      </c>
    </row>
    <row r="22" spans="1:9" x14ac:dyDescent="0.3">
      <c r="A22" s="3" t="s">
        <v>85</v>
      </c>
      <c r="B22" s="3">
        <v>10</v>
      </c>
      <c r="C22" s="3">
        <v>12</v>
      </c>
      <c r="D22" s="3">
        <v>1</v>
      </c>
      <c r="E22" s="3">
        <v>1</v>
      </c>
      <c r="F22" s="3">
        <v>1</v>
      </c>
      <c r="G22" s="3">
        <v>5</v>
      </c>
      <c r="H22" s="3">
        <v>0</v>
      </c>
      <c r="I22" s="3">
        <v>4</v>
      </c>
    </row>
    <row r="23" spans="1:9" x14ac:dyDescent="0.3">
      <c r="A23" s="3" t="s">
        <v>86</v>
      </c>
      <c r="B23" s="3">
        <v>7</v>
      </c>
      <c r="C23" s="3">
        <v>6</v>
      </c>
      <c r="D23" s="3">
        <v>2</v>
      </c>
      <c r="E23" s="3">
        <v>0</v>
      </c>
      <c r="F23" s="3">
        <v>1</v>
      </c>
      <c r="G23" s="3">
        <v>2</v>
      </c>
      <c r="H23" s="3">
        <v>0</v>
      </c>
      <c r="I23" s="3">
        <v>1</v>
      </c>
    </row>
    <row r="24" spans="1:9" x14ac:dyDescent="0.3">
      <c r="A24" s="3" t="s">
        <v>87</v>
      </c>
      <c r="B24" s="3">
        <v>12</v>
      </c>
      <c r="C24" s="3">
        <v>16</v>
      </c>
      <c r="D24" s="3">
        <v>1</v>
      </c>
      <c r="E24" s="3">
        <v>2</v>
      </c>
      <c r="F24" s="3">
        <v>1</v>
      </c>
      <c r="G24" s="3">
        <v>8</v>
      </c>
      <c r="H24" s="3">
        <v>0</v>
      </c>
      <c r="I24" s="3">
        <v>4</v>
      </c>
    </row>
    <row r="25" spans="1:9" x14ac:dyDescent="0.3">
      <c r="A25" s="3" t="s">
        <v>88</v>
      </c>
      <c r="B25" s="3">
        <v>14</v>
      </c>
      <c r="C25" s="3">
        <v>16</v>
      </c>
      <c r="D25" s="3">
        <v>1</v>
      </c>
      <c r="E25" s="3">
        <v>3</v>
      </c>
      <c r="F25" s="3">
        <v>1</v>
      </c>
      <c r="G25" s="3">
        <v>5</v>
      </c>
      <c r="H25" s="3">
        <v>0</v>
      </c>
      <c r="I25" s="3">
        <v>6</v>
      </c>
    </row>
    <row r="26" spans="1:9" s="16" customFormat="1" ht="18" x14ac:dyDescent="0.35">
      <c r="A26" s="4" t="s">
        <v>152</v>
      </c>
      <c r="B26" s="1">
        <f>AVERAGE(B2:B25)</f>
        <v>11.958333333333334</v>
      </c>
      <c r="C26" s="1">
        <f t="shared" ref="C26:I26" si="0">AVERAGE(C2:C25)</f>
        <v>12.166666666666666</v>
      </c>
      <c r="D26" s="1">
        <f t="shared" si="0"/>
        <v>1.0833333333333333</v>
      </c>
      <c r="E26" s="1">
        <f t="shared" si="0"/>
        <v>1.8333333333333333</v>
      </c>
      <c r="F26" s="1">
        <f t="shared" si="0"/>
        <v>2.3333333333333335</v>
      </c>
      <c r="G26" s="1">
        <f t="shared" si="0"/>
        <v>5.791666666666667</v>
      </c>
      <c r="H26" s="1">
        <f t="shared" si="0"/>
        <v>0</v>
      </c>
      <c r="I26" s="1">
        <f t="shared" si="0"/>
        <v>1.125</v>
      </c>
    </row>
    <row r="27" spans="1:9" s="16" customFormat="1" ht="18" x14ac:dyDescent="0.35">
      <c r="A27" s="7" t="s">
        <v>49</v>
      </c>
      <c r="B27" s="8">
        <f>SUM(B2:B25)</f>
        <v>287</v>
      </c>
      <c r="C27" s="8">
        <f t="shared" ref="C27:I27" si="1">SUM(C2:C25)</f>
        <v>292</v>
      </c>
      <c r="D27" s="8">
        <f t="shared" si="1"/>
        <v>26</v>
      </c>
      <c r="E27" s="8">
        <f t="shared" si="1"/>
        <v>44</v>
      </c>
      <c r="F27" s="8">
        <f t="shared" si="1"/>
        <v>56</v>
      </c>
      <c r="G27" s="8">
        <f t="shared" si="1"/>
        <v>139</v>
      </c>
      <c r="H27" s="8">
        <f t="shared" si="1"/>
        <v>0</v>
      </c>
      <c r="I27" s="8">
        <f t="shared" si="1"/>
        <v>27</v>
      </c>
    </row>
    <row r="28" spans="1:9" s="16" customFormat="1" ht="18" x14ac:dyDescent="0.35">
      <c r="A28" s="10" t="s">
        <v>50</v>
      </c>
      <c r="D28" s="9">
        <f>(D27*100)/C27</f>
        <v>8.9041095890410951</v>
      </c>
      <c r="E28" s="9">
        <f>(E27*100)/C27</f>
        <v>15.068493150684931</v>
      </c>
      <c r="F28" s="9">
        <f>(F27*100)/C27</f>
        <v>19.17808219178082</v>
      </c>
      <c r="G28" s="9">
        <f>(G27*100)/C27</f>
        <v>47.602739726027394</v>
      </c>
      <c r="H28" s="9">
        <f>(H27*100)/C27</f>
        <v>0</v>
      </c>
      <c r="I28" s="9">
        <f>(I27*100)/C27</f>
        <v>9.2465753424657535</v>
      </c>
    </row>
  </sheetData>
  <autoFilter ref="A1:I28" xr:uid="{E26448CD-508F-451C-BDFF-F256C0A07973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9FB3-3913-461F-88BF-82279A6FDA18}">
  <dimension ref="A1:I24"/>
  <sheetViews>
    <sheetView workbookViewId="0">
      <pane ySplit="1" topLeftCell="A2" activePane="bottomLeft" state="frozen"/>
      <selection pane="bottomLeft" activeCell="A21" sqref="A21"/>
    </sheetView>
  </sheetViews>
  <sheetFormatPr defaultColWidth="9.109375" defaultRowHeight="14.4" x14ac:dyDescent="0.3"/>
  <cols>
    <col min="1" max="1" width="22.5546875" style="17" customWidth="1"/>
    <col min="2" max="2" width="13.109375" style="17" customWidth="1"/>
    <col min="3" max="3" width="13.6640625" style="17" bestFit="1" customWidth="1"/>
    <col min="4" max="4" width="14" style="17" bestFit="1" customWidth="1"/>
    <col min="5" max="5" width="12.44140625" style="17" bestFit="1" customWidth="1"/>
    <col min="6" max="6" width="12.6640625" style="17" bestFit="1" customWidth="1"/>
    <col min="7" max="7" width="11.44140625" style="17" customWidth="1"/>
    <col min="8" max="8" width="18.6640625" style="17" bestFit="1" customWidth="1"/>
    <col min="9" max="9" width="12.33203125" style="17" bestFit="1" customWidth="1"/>
    <col min="10" max="16384" width="9.109375" style="6"/>
  </cols>
  <sheetData>
    <row r="1" spans="1:9" s="18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s="3" t="s">
        <v>89</v>
      </c>
      <c r="B2" s="3">
        <v>10</v>
      </c>
      <c r="C2" s="3">
        <v>9</v>
      </c>
      <c r="D2" s="3">
        <v>3</v>
      </c>
      <c r="E2" s="3">
        <v>2</v>
      </c>
      <c r="F2" s="3">
        <v>0</v>
      </c>
      <c r="G2" s="3">
        <v>1</v>
      </c>
      <c r="H2" s="3">
        <v>0</v>
      </c>
      <c r="I2" s="3">
        <v>3</v>
      </c>
    </row>
    <row r="3" spans="1:9" x14ac:dyDescent="0.3">
      <c r="A3" s="3" t="s">
        <v>90</v>
      </c>
      <c r="B3" s="3">
        <v>4</v>
      </c>
      <c r="C3" s="3">
        <v>7</v>
      </c>
      <c r="D3" s="3">
        <v>0</v>
      </c>
      <c r="E3" s="3">
        <v>4</v>
      </c>
      <c r="F3" s="3">
        <v>0</v>
      </c>
      <c r="G3" s="3">
        <v>3</v>
      </c>
      <c r="H3" s="3">
        <v>0</v>
      </c>
      <c r="I3" s="3">
        <v>0</v>
      </c>
    </row>
    <row r="4" spans="1:9" x14ac:dyDescent="0.3">
      <c r="A4" s="3" t="s">
        <v>91</v>
      </c>
      <c r="B4" s="3">
        <v>11</v>
      </c>
      <c r="C4" s="3">
        <v>7</v>
      </c>
      <c r="D4" s="3">
        <v>1</v>
      </c>
      <c r="E4" s="3">
        <v>0</v>
      </c>
      <c r="F4" s="3">
        <v>0</v>
      </c>
      <c r="G4" s="3">
        <v>6</v>
      </c>
      <c r="H4" s="3">
        <v>0</v>
      </c>
      <c r="I4" s="3">
        <v>0</v>
      </c>
    </row>
    <row r="5" spans="1:9" x14ac:dyDescent="0.3">
      <c r="A5" s="3" t="s">
        <v>92</v>
      </c>
      <c r="B5" s="3">
        <v>11</v>
      </c>
      <c r="C5" s="3">
        <v>15</v>
      </c>
      <c r="D5" s="3">
        <v>0</v>
      </c>
      <c r="E5" s="3">
        <v>5</v>
      </c>
      <c r="F5" s="3">
        <v>0</v>
      </c>
      <c r="G5" s="3">
        <v>9</v>
      </c>
      <c r="H5" s="3">
        <v>0</v>
      </c>
      <c r="I5" s="3">
        <v>1</v>
      </c>
    </row>
    <row r="6" spans="1:9" x14ac:dyDescent="0.3">
      <c r="A6" s="3" t="s">
        <v>93</v>
      </c>
      <c r="B6" s="3">
        <v>12</v>
      </c>
      <c r="C6" s="3">
        <v>11</v>
      </c>
      <c r="D6" s="3">
        <v>0</v>
      </c>
      <c r="E6" s="3">
        <v>2</v>
      </c>
      <c r="F6" s="3">
        <v>1</v>
      </c>
      <c r="G6" s="3">
        <v>5</v>
      </c>
      <c r="H6" s="3">
        <v>0</v>
      </c>
      <c r="I6" s="3">
        <v>3</v>
      </c>
    </row>
    <row r="7" spans="1:9" x14ac:dyDescent="0.3">
      <c r="A7" s="3" t="s">
        <v>94</v>
      </c>
      <c r="B7" s="3">
        <v>19</v>
      </c>
      <c r="C7" s="3">
        <v>14</v>
      </c>
      <c r="D7" s="3">
        <v>0</v>
      </c>
      <c r="E7" s="3">
        <v>1</v>
      </c>
      <c r="F7" s="3">
        <v>5</v>
      </c>
      <c r="G7" s="3">
        <v>8</v>
      </c>
      <c r="H7" s="3">
        <v>0</v>
      </c>
      <c r="I7" s="3">
        <v>0</v>
      </c>
    </row>
    <row r="8" spans="1:9" x14ac:dyDescent="0.3">
      <c r="A8" s="3" t="s">
        <v>95</v>
      </c>
      <c r="B8" s="3">
        <v>5</v>
      </c>
      <c r="C8" s="3">
        <v>12</v>
      </c>
      <c r="D8" s="3">
        <v>1</v>
      </c>
      <c r="E8" s="3">
        <v>3</v>
      </c>
      <c r="F8" s="3">
        <v>2</v>
      </c>
      <c r="G8" s="3">
        <v>5</v>
      </c>
      <c r="H8" s="3">
        <v>0</v>
      </c>
      <c r="I8" s="3">
        <v>1</v>
      </c>
    </row>
    <row r="9" spans="1:9" x14ac:dyDescent="0.3">
      <c r="A9" s="3" t="s">
        <v>96</v>
      </c>
      <c r="B9" s="3">
        <v>10</v>
      </c>
      <c r="C9" s="3">
        <v>9</v>
      </c>
      <c r="D9" s="3">
        <v>0</v>
      </c>
      <c r="E9" s="3">
        <v>0</v>
      </c>
      <c r="F9" s="3">
        <v>2</v>
      </c>
      <c r="G9" s="3">
        <v>6</v>
      </c>
      <c r="H9" s="3">
        <v>0</v>
      </c>
      <c r="I9" s="3">
        <v>1</v>
      </c>
    </row>
    <row r="10" spans="1:9" x14ac:dyDescent="0.3">
      <c r="A10" s="3" t="s">
        <v>97</v>
      </c>
      <c r="B10" s="3">
        <v>7</v>
      </c>
      <c r="C10" s="3">
        <v>7</v>
      </c>
      <c r="D10" s="3">
        <v>1</v>
      </c>
      <c r="E10" s="3">
        <v>1</v>
      </c>
      <c r="F10" s="3">
        <v>0</v>
      </c>
      <c r="G10" s="3">
        <v>3</v>
      </c>
      <c r="H10" s="3">
        <v>0</v>
      </c>
      <c r="I10" s="3">
        <v>2</v>
      </c>
    </row>
    <row r="11" spans="1:9" x14ac:dyDescent="0.3">
      <c r="A11" s="3" t="s">
        <v>98</v>
      </c>
      <c r="B11" s="3">
        <v>5</v>
      </c>
      <c r="C11" s="3">
        <v>3</v>
      </c>
      <c r="D11" s="3">
        <v>0</v>
      </c>
      <c r="E11" s="3">
        <v>1</v>
      </c>
      <c r="F11" s="3">
        <v>0</v>
      </c>
      <c r="G11" s="3">
        <v>2</v>
      </c>
      <c r="H11" s="3">
        <v>0</v>
      </c>
      <c r="I11" s="3">
        <v>0</v>
      </c>
    </row>
    <row r="12" spans="1:9" x14ac:dyDescent="0.3">
      <c r="A12" s="3" t="s">
        <v>99</v>
      </c>
      <c r="B12" s="3">
        <v>13</v>
      </c>
      <c r="C12" s="3">
        <v>11</v>
      </c>
      <c r="D12" s="3">
        <v>1</v>
      </c>
      <c r="E12" s="3">
        <v>0</v>
      </c>
      <c r="F12" s="3">
        <v>1</v>
      </c>
      <c r="G12" s="3">
        <v>8</v>
      </c>
      <c r="H12" s="3">
        <v>0</v>
      </c>
      <c r="I12" s="3">
        <v>1</v>
      </c>
    </row>
    <row r="13" spans="1:9" x14ac:dyDescent="0.3">
      <c r="A13" s="3" t="s">
        <v>100</v>
      </c>
      <c r="B13" s="3">
        <v>18</v>
      </c>
      <c r="C13" s="3">
        <v>14</v>
      </c>
      <c r="D13" s="3">
        <v>0</v>
      </c>
      <c r="E13" s="3">
        <v>1</v>
      </c>
      <c r="F13" s="3">
        <v>3</v>
      </c>
      <c r="G13" s="3">
        <v>8</v>
      </c>
      <c r="H13" s="3">
        <v>0</v>
      </c>
      <c r="I13" s="3">
        <v>2</v>
      </c>
    </row>
    <row r="14" spans="1:9" x14ac:dyDescent="0.3">
      <c r="A14" s="3" t="s">
        <v>101</v>
      </c>
      <c r="B14" s="3">
        <v>10</v>
      </c>
      <c r="C14" s="3">
        <v>16</v>
      </c>
      <c r="D14" s="3">
        <v>1</v>
      </c>
      <c r="E14" s="3">
        <v>1</v>
      </c>
      <c r="F14" s="3">
        <v>4</v>
      </c>
      <c r="G14" s="3">
        <v>6</v>
      </c>
      <c r="H14" s="3">
        <v>0</v>
      </c>
      <c r="I14" s="3">
        <v>4</v>
      </c>
    </row>
    <row r="15" spans="1:9" x14ac:dyDescent="0.3">
      <c r="A15" s="3" t="s">
        <v>102</v>
      </c>
      <c r="B15" s="3">
        <v>28</v>
      </c>
      <c r="C15" s="3">
        <v>13</v>
      </c>
      <c r="D15" s="3">
        <v>2</v>
      </c>
      <c r="E15" s="3">
        <v>1</v>
      </c>
      <c r="F15" s="3">
        <v>0</v>
      </c>
      <c r="G15" s="3">
        <v>9</v>
      </c>
      <c r="H15" s="3">
        <v>0</v>
      </c>
      <c r="I15" s="3">
        <v>1</v>
      </c>
    </row>
    <row r="16" spans="1:9" x14ac:dyDescent="0.3">
      <c r="A16" s="3" t="s">
        <v>103</v>
      </c>
      <c r="B16" s="3">
        <v>18</v>
      </c>
      <c r="C16" s="3">
        <v>28</v>
      </c>
      <c r="D16" s="3">
        <v>0</v>
      </c>
      <c r="E16" s="3">
        <v>8</v>
      </c>
      <c r="F16" s="3">
        <v>7</v>
      </c>
      <c r="G16" s="3">
        <v>9</v>
      </c>
      <c r="H16" s="3">
        <v>0</v>
      </c>
      <c r="I16" s="3">
        <v>4</v>
      </c>
    </row>
    <row r="17" spans="1:9" x14ac:dyDescent="0.3">
      <c r="A17" s="3" t="s">
        <v>104</v>
      </c>
      <c r="B17" s="3">
        <v>2</v>
      </c>
      <c r="C17" s="3">
        <v>8</v>
      </c>
      <c r="D17" s="3">
        <v>1</v>
      </c>
      <c r="E17" s="3">
        <v>3</v>
      </c>
      <c r="F17" s="3">
        <v>0</v>
      </c>
      <c r="G17" s="3">
        <v>3</v>
      </c>
      <c r="H17" s="3">
        <v>0</v>
      </c>
      <c r="I17" s="3">
        <v>1</v>
      </c>
    </row>
    <row r="18" spans="1:9" x14ac:dyDescent="0.3">
      <c r="A18" s="3" t="s">
        <v>105</v>
      </c>
      <c r="B18" s="3">
        <v>11</v>
      </c>
      <c r="C18" s="3">
        <v>12</v>
      </c>
      <c r="D18" s="3">
        <v>3</v>
      </c>
      <c r="E18" s="3">
        <v>1</v>
      </c>
      <c r="F18" s="3">
        <v>1</v>
      </c>
      <c r="G18" s="3">
        <v>5</v>
      </c>
      <c r="H18" s="3">
        <v>0</v>
      </c>
      <c r="I18" s="3">
        <v>2</v>
      </c>
    </row>
    <row r="19" spans="1:9" x14ac:dyDescent="0.3">
      <c r="A19" s="3" t="s">
        <v>106</v>
      </c>
      <c r="B19" s="3">
        <v>14</v>
      </c>
      <c r="C19" s="3">
        <v>15</v>
      </c>
      <c r="D19" s="3">
        <v>0</v>
      </c>
      <c r="E19" s="3">
        <v>7</v>
      </c>
      <c r="F19" s="3">
        <v>0</v>
      </c>
      <c r="G19" s="3">
        <v>6</v>
      </c>
      <c r="H19" s="3">
        <v>0</v>
      </c>
      <c r="I19" s="3">
        <v>2</v>
      </c>
    </row>
    <row r="20" spans="1:9" x14ac:dyDescent="0.3">
      <c r="A20" s="3" t="s">
        <v>107</v>
      </c>
      <c r="B20" s="3">
        <v>1</v>
      </c>
      <c r="C20" s="3">
        <v>1</v>
      </c>
      <c r="D20" s="3">
        <v>0</v>
      </c>
      <c r="E20" s="3">
        <v>1</v>
      </c>
      <c r="F20" s="3">
        <v>0</v>
      </c>
      <c r="G20" s="3">
        <v>0</v>
      </c>
      <c r="H20" s="3">
        <v>0</v>
      </c>
      <c r="I20" s="3">
        <v>0</v>
      </c>
    </row>
    <row r="21" spans="1:9" ht="18" x14ac:dyDescent="0.35">
      <c r="A21" s="4" t="s">
        <v>152</v>
      </c>
      <c r="B21" s="1">
        <f>AVERAGE(B2:B20)</f>
        <v>11</v>
      </c>
      <c r="C21" s="1">
        <f t="shared" ref="C21:I21" si="0">AVERAGE(C2:C20)</f>
        <v>11.157894736842104</v>
      </c>
      <c r="D21" s="1">
        <f t="shared" si="0"/>
        <v>0.73684210526315785</v>
      </c>
      <c r="E21" s="1">
        <f t="shared" si="0"/>
        <v>2.2105263157894739</v>
      </c>
      <c r="F21" s="1">
        <f t="shared" si="0"/>
        <v>1.368421052631579</v>
      </c>
      <c r="G21" s="1">
        <f t="shared" si="0"/>
        <v>5.3684210526315788</v>
      </c>
      <c r="H21" s="1">
        <f t="shared" si="0"/>
        <v>0</v>
      </c>
      <c r="I21" s="1">
        <f t="shared" si="0"/>
        <v>1.4736842105263157</v>
      </c>
    </row>
    <row r="22" spans="1:9" ht="18" x14ac:dyDescent="0.35">
      <c r="A22" s="7" t="s">
        <v>49</v>
      </c>
      <c r="B22" s="8">
        <f>SUM(B2:B20)</f>
        <v>209</v>
      </c>
      <c r="C22" s="8">
        <f t="shared" ref="C22:I22" si="1">SUM(C2:C20)</f>
        <v>212</v>
      </c>
      <c r="D22" s="8">
        <f t="shared" si="1"/>
        <v>14</v>
      </c>
      <c r="E22" s="8">
        <f t="shared" si="1"/>
        <v>42</v>
      </c>
      <c r="F22" s="8">
        <f t="shared" si="1"/>
        <v>26</v>
      </c>
      <c r="G22" s="8">
        <f t="shared" si="1"/>
        <v>102</v>
      </c>
      <c r="H22" s="8">
        <f t="shared" si="1"/>
        <v>0</v>
      </c>
      <c r="I22" s="8">
        <f t="shared" si="1"/>
        <v>28</v>
      </c>
    </row>
    <row r="23" spans="1:9" ht="18" x14ac:dyDescent="0.35">
      <c r="A23" s="10" t="s">
        <v>50</v>
      </c>
      <c r="B23" s="16"/>
      <c r="C23" s="16"/>
      <c r="D23" s="9">
        <f>(D22*100)/C22</f>
        <v>6.6037735849056602</v>
      </c>
      <c r="E23" s="9">
        <f>(E22*100)/C22</f>
        <v>19.811320754716981</v>
      </c>
      <c r="F23" s="9">
        <f>(F22*100)/C22</f>
        <v>12.264150943396226</v>
      </c>
      <c r="G23" s="9">
        <f>(G22*100)/C22</f>
        <v>48.113207547169814</v>
      </c>
      <c r="H23" s="9">
        <f>(H22*100)/C22</f>
        <v>0</v>
      </c>
      <c r="I23" s="9">
        <f>(I22*100)/C22</f>
        <v>13.20754716981132</v>
      </c>
    </row>
    <row r="24" spans="1:9" x14ac:dyDescent="0.3">
      <c r="A24" s="26"/>
    </row>
  </sheetData>
  <autoFilter ref="A1:I20" xr:uid="{42119FB3-3913-461F-88BF-82279A6FDA18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4E79-6F5E-4254-9435-AA1A7531D573}">
  <dimension ref="A1:I26"/>
  <sheetViews>
    <sheetView workbookViewId="0">
      <pane ySplit="1" topLeftCell="A2" activePane="bottomLeft" state="frozen"/>
      <selection pane="bottomLeft" activeCell="A24" sqref="A24"/>
    </sheetView>
  </sheetViews>
  <sheetFormatPr defaultRowHeight="14.4" x14ac:dyDescent="0.3"/>
  <cols>
    <col min="1" max="1" width="22.5546875" customWidth="1"/>
    <col min="2" max="2" width="14.44140625" customWidth="1"/>
    <col min="3" max="3" width="16.109375" customWidth="1"/>
    <col min="4" max="4" width="13.88671875" bestFit="1" customWidth="1"/>
    <col min="5" max="5" width="12.33203125" bestFit="1" customWidth="1"/>
    <col min="6" max="6" width="12.5546875" bestFit="1" customWidth="1"/>
    <col min="7" max="7" width="12.88671875" customWidth="1"/>
    <col min="8" max="8" width="18.88671875" bestFit="1" customWidth="1"/>
    <col min="9" max="9" width="13.6640625" customWidth="1"/>
  </cols>
  <sheetData>
    <row r="1" spans="1:9" s="2" customFormat="1" x14ac:dyDescent="0.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</row>
    <row r="2" spans="1:9" x14ac:dyDescent="0.3">
      <c r="A2" s="23" t="s">
        <v>108</v>
      </c>
      <c r="B2" s="23">
        <v>9</v>
      </c>
      <c r="C2" s="23">
        <v>14</v>
      </c>
      <c r="D2" s="23">
        <v>1</v>
      </c>
      <c r="E2" s="23">
        <v>2</v>
      </c>
      <c r="F2" s="23">
        <v>5</v>
      </c>
      <c r="G2" s="23">
        <v>5</v>
      </c>
      <c r="H2" s="23">
        <v>0</v>
      </c>
      <c r="I2" s="23">
        <v>1</v>
      </c>
    </row>
    <row r="3" spans="1:9" x14ac:dyDescent="0.3">
      <c r="A3" s="23" t="s">
        <v>109</v>
      </c>
      <c r="B3" s="23">
        <v>13</v>
      </c>
      <c r="C3" s="23">
        <v>13</v>
      </c>
      <c r="D3" s="23">
        <v>0</v>
      </c>
      <c r="E3" s="23">
        <v>5</v>
      </c>
      <c r="F3" s="23">
        <v>3</v>
      </c>
      <c r="G3" s="23">
        <v>5</v>
      </c>
      <c r="H3" s="23">
        <v>0</v>
      </c>
      <c r="I3" s="23">
        <v>0</v>
      </c>
    </row>
    <row r="4" spans="1:9" x14ac:dyDescent="0.3">
      <c r="A4" s="23" t="s">
        <v>110</v>
      </c>
      <c r="B4" s="23">
        <v>22</v>
      </c>
      <c r="C4" s="23">
        <v>17</v>
      </c>
      <c r="D4" s="23">
        <v>2</v>
      </c>
      <c r="E4" s="23">
        <v>1</v>
      </c>
      <c r="F4" s="23">
        <v>3</v>
      </c>
      <c r="G4" s="23">
        <v>5</v>
      </c>
      <c r="H4" s="23">
        <v>0</v>
      </c>
      <c r="I4" s="23">
        <v>6</v>
      </c>
    </row>
    <row r="5" spans="1:9" x14ac:dyDescent="0.3">
      <c r="A5" s="23" t="s">
        <v>111</v>
      </c>
      <c r="B5" s="23">
        <v>11</v>
      </c>
      <c r="C5" s="23">
        <v>13</v>
      </c>
      <c r="D5" s="23">
        <v>0</v>
      </c>
      <c r="E5" s="23">
        <v>3</v>
      </c>
      <c r="F5" s="23">
        <v>1</v>
      </c>
      <c r="G5" s="23">
        <v>6</v>
      </c>
      <c r="H5" s="23">
        <v>0</v>
      </c>
      <c r="I5" s="23">
        <v>3</v>
      </c>
    </row>
    <row r="6" spans="1:9" x14ac:dyDescent="0.3">
      <c r="A6" s="23" t="s">
        <v>112</v>
      </c>
      <c r="B6" s="23">
        <v>7</v>
      </c>
      <c r="C6" s="23">
        <v>10</v>
      </c>
      <c r="D6" s="23">
        <v>0</v>
      </c>
      <c r="E6" s="23">
        <v>1</v>
      </c>
      <c r="F6" s="23">
        <v>2</v>
      </c>
      <c r="G6" s="23">
        <v>5</v>
      </c>
      <c r="H6" s="23">
        <v>0</v>
      </c>
      <c r="I6" s="23">
        <v>2</v>
      </c>
    </row>
    <row r="7" spans="1:9" x14ac:dyDescent="0.3">
      <c r="A7" s="23" t="s">
        <v>113</v>
      </c>
      <c r="B7" s="23">
        <v>14</v>
      </c>
      <c r="C7" s="23">
        <v>13</v>
      </c>
      <c r="D7" s="23">
        <v>0</v>
      </c>
      <c r="E7" s="23">
        <v>4</v>
      </c>
      <c r="F7" s="23">
        <v>1</v>
      </c>
      <c r="G7" s="23">
        <v>7</v>
      </c>
      <c r="H7" s="23">
        <v>0</v>
      </c>
      <c r="I7" s="23">
        <v>1</v>
      </c>
    </row>
    <row r="8" spans="1:9" x14ac:dyDescent="0.3">
      <c r="A8" s="23" t="s">
        <v>114</v>
      </c>
      <c r="B8" s="23">
        <v>10</v>
      </c>
      <c r="C8" s="23">
        <v>9</v>
      </c>
      <c r="D8" s="23">
        <v>1</v>
      </c>
      <c r="E8" s="23">
        <v>0</v>
      </c>
      <c r="F8" s="23">
        <v>2</v>
      </c>
      <c r="G8" s="23">
        <v>2</v>
      </c>
      <c r="H8" s="23">
        <v>0</v>
      </c>
      <c r="I8" s="23">
        <v>4</v>
      </c>
    </row>
    <row r="9" spans="1:9" x14ac:dyDescent="0.3">
      <c r="A9" s="23" t="s">
        <v>115</v>
      </c>
      <c r="B9" s="23">
        <v>13</v>
      </c>
      <c r="C9" s="23">
        <v>11</v>
      </c>
      <c r="D9" s="23">
        <v>1</v>
      </c>
      <c r="E9" s="23">
        <v>0</v>
      </c>
      <c r="F9" s="23">
        <v>4</v>
      </c>
      <c r="G9" s="23">
        <v>4</v>
      </c>
      <c r="H9" s="23">
        <v>0</v>
      </c>
      <c r="I9" s="23">
        <v>2</v>
      </c>
    </row>
    <row r="10" spans="1:9" x14ac:dyDescent="0.3">
      <c r="A10" s="23" t="s">
        <v>116</v>
      </c>
      <c r="B10" s="23">
        <v>12</v>
      </c>
      <c r="C10" s="23">
        <v>12</v>
      </c>
      <c r="D10" s="23">
        <v>0</v>
      </c>
      <c r="E10" s="23">
        <v>1</v>
      </c>
      <c r="F10" s="23">
        <v>1</v>
      </c>
      <c r="G10" s="23">
        <v>4</v>
      </c>
      <c r="H10" s="23">
        <v>0</v>
      </c>
      <c r="I10" s="23">
        <v>6</v>
      </c>
    </row>
    <row r="11" spans="1:9" x14ac:dyDescent="0.3">
      <c r="A11" s="23" t="s">
        <v>117</v>
      </c>
      <c r="B11" s="23">
        <v>10</v>
      </c>
      <c r="C11" s="23">
        <v>12</v>
      </c>
      <c r="D11" s="23">
        <v>1</v>
      </c>
      <c r="E11" s="23">
        <v>2</v>
      </c>
      <c r="F11" s="23">
        <v>0</v>
      </c>
      <c r="G11" s="23">
        <v>5</v>
      </c>
      <c r="H11" s="23">
        <v>0</v>
      </c>
      <c r="I11" s="23">
        <v>4</v>
      </c>
    </row>
    <row r="12" spans="1:9" x14ac:dyDescent="0.3">
      <c r="A12" s="23" t="s">
        <v>118</v>
      </c>
      <c r="B12" s="23">
        <v>13</v>
      </c>
      <c r="C12" s="23">
        <v>13</v>
      </c>
      <c r="D12" s="23">
        <v>0</v>
      </c>
      <c r="E12" s="23">
        <v>1</v>
      </c>
      <c r="F12" s="23">
        <v>1</v>
      </c>
      <c r="G12" s="23">
        <v>9</v>
      </c>
      <c r="H12" s="23">
        <v>0</v>
      </c>
      <c r="I12" s="23">
        <v>2</v>
      </c>
    </row>
    <row r="13" spans="1:9" x14ac:dyDescent="0.3">
      <c r="A13" s="23" t="s">
        <v>119</v>
      </c>
      <c r="B13" s="23">
        <v>8</v>
      </c>
      <c r="C13" s="23">
        <v>9</v>
      </c>
      <c r="D13" s="23">
        <v>0</v>
      </c>
      <c r="E13" s="23">
        <v>2</v>
      </c>
      <c r="F13" s="23">
        <v>1</v>
      </c>
      <c r="G13" s="23">
        <v>4</v>
      </c>
      <c r="H13" s="23">
        <v>0</v>
      </c>
      <c r="I13" s="23">
        <v>2</v>
      </c>
    </row>
    <row r="14" spans="1:9" x14ac:dyDescent="0.3">
      <c r="A14" s="23" t="s">
        <v>120</v>
      </c>
      <c r="B14" s="23">
        <v>9</v>
      </c>
      <c r="C14" s="23">
        <v>10</v>
      </c>
      <c r="D14" s="23">
        <v>0</v>
      </c>
      <c r="E14" s="23">
        <v>1</v>
      </c>
      <c r="F14" s="23">
        <v>0</v>
      </c>
      <c r="G14" s="23">
        <v>8</v>
      </c>
      <c r="H14" s="23">
        <v>0</v>
      </c>
      <c r="I14" s="23">
        <v>1</v>
      </c>
    </row>
    <row r="15" spans="1:9" x14ac:dyDescent="0.3">
      <c r="A15" s="23" t="s">
        <v>121</v>
      </c>
      <c r="B15" s="23">
        <v>8</v>
      </c>
      <c r="C15" s="23">
        <v>7</v>
      </c>
      <c r="D15" s="23">
        <v>0</v>
      </c>
      <c r="E15" s="23">
        <v>0</v>
      </c>
      <c r="F15" s="23">
        <v>3</v>
      </c>
      <c r="G15" s="23">
        <v>4</v>
      </c>
      <c r="H15" s="23">
        <v>0</v>
      </c>
      <c r="I15" s="23">
        <v>0</v>
      </c>
    </row>
    <row r="16" spans="1:9" x14ac:dyDescent="0.3">
      <c r="A16" s="23" t="s">
        <v>122</v>
      </c>
      <c r="B16" s="23">
        <v>10</v>
      </c>
      <c r="C16" s="23">
        <v>13</v>
      </c>
      <c r="D16" s="23">
        <v>0</v>
      </c>
      <c r="E16" s="23">
        <v>4</v>
      </c>
      <c r="F16" s="23">
        <v>0</v>
      </c>
      <c r="G16" s="23">
        <v>5</v>
      </c>
      <c r="H16" s="23">
        <v>0</v>
      </c>
      <c r="I16" s="23">
        <v>4</v>
      </c>
    </row>
    <row r="17" spans="1:9" x14ac:dyDescent="0.3">
      <c r="A17" s="23" t="s">
        <v>123</v>
      </c>
      <c r="B17" s="23">
        <v>17</v>
      </c>
      <c r="C17" s="23">
        <v>14</v>
      </c>
      <c r="D17" s="23">
        <v>0</v>
      </c>
      <c r="E17" s="23">
        <v>2</v>
      </c>
      <c r="F17" s="23">
        <v>1</v>
      </c>
      <c r="G17" s="23">
        <v>7</v>
      </c>
      <c r="H17" s="23">
        <v>0</v>
      </c>
      <c r="I17" s="23">
        <v>4</v>
      </c>
    </row>
    <row r="18" spans="1:9" x14ac:dyDescent="0.3">
      <c r="A18" s="23" t="s">
        <v>124</v>
      </c>
      <c r="B18" s="23">
        <v>8</v>
      </c>
      <c r="C18" s="23">
        <v>12</v>
      </c>
      <c r="D18" s="23">
        <v>0</v>
      </c>
      <c r="E18" s="23">
        <v>2</v>
      </c>
      <c r="F18" s="23">
        <v>3</v>
      </c>
      <c r="G18" s="23">
        <v>6</v>
      </c>
      <c r="H18" s="23">
        <v>0</v>
      </c>
      <c r="I18" s="23">
        <v>1</v>
      </c>
    </row>
    <row r="19" spans="1:9" x14ac:dyDescent="0.3">
      <c r="A19" s="23" t="s">
        <v>125</v>
      </c>
      <c r="B19" s="23">
        <v>12</v>
      </c>
      <c r="C19" s="23">
        <v>12</v>
      </c>
      <c r="D19" s="23">
        <v>0</v>
      </c>
      <c r="E19" s="23">
        <v>0</v>
      </c>
      <c r="F19" s="23">
        <v>0</v>
      </c>
      <c r="G19" s="23">
        <v>7</v>
      </c>
      <c r="H19" s="23">
        <v>0</v>
      </c>
      <c r="I19" s="23">
        <v>5</v>
      </c>
    </row>
    <row r="20" spans="1:9" x14ac:dyDescent="0.3">
      <c r="A20" s="23" t="s">
        <v>126</v>
      </c>
      <c r="B20" s="23">
        <v>22</v>
      </c>
      <c r="C20" s="23">
        <v>7</v>
      </c>
      <c r="D20" s="23">
        <v>0</v>
      </c>
      <c r="E20" s="23">
        <v>0</v>
      </c>
      <c r="F20" s="23">
        <v>1</v>
      </c>
      <c r="G20" s="23">
        <v>2</v>
      </c>
      <c r="H20" s="23">
        <v>0</v>
      </c>
      <c r="I20" s="23">
        <v>4</v>
      </c>
    </row>
    <row r="21" spans="1:9" x14ac:dyDescent="0.3">
      <c r="A21" s="23" t="s">
        <v>127</v>
      </c>
      <c r="B21" s="23">
        <v>4</v>
      </c>
      <c r="C21" s="23">
        <v>14</v>
      </c>
      <c r="D21" s="23">
        <v>0</v>
      </c>
      <c r="E21" s="23">
        <v>3</v>
      </c>
      <c r="F21" s="23">
        <v>9</v>
      </c>
      <c r="G21" s="23">
        <v>1</v>
      </c>
      <c r="H21" s="23">
        <v>0</v>
      </c>
      <c r="I21" s="23">
        <v>1</v>
      </c>
    </row>
    <row r="22" spans="1:9" x14ac:dyDescent="0.3">
      <c r="A22" s="23" t="s">
        <v>128</v>
      </c>
      <c r="B22" s="23">
        <v>12</v>
      </c>
      <c r="C22" s="23">
        <v>15</v>
      </c>
      <c r="D22" s="23">
        <v>0</v>
      </c>
      <c r="E22" s="23">
        <v>0</v>
      </c>
      <c r="F22" s="23">
        <v>1</v>
      </c>
      <c r="G22" s="23">
        <v>11</v>
      </c>
      <c r="H22" s="23">
        <v>0</v>
      </c>
      <c r="I22" s="23">
        <v>3</v>
      </c>
    </row>
    <row r="23" spans="1:9" x14ac:dyDescent="0.3">
      <c r="A23" s="23" t="s">
        <v>129</v>
      </c>
      <c r="B23" s="23">
        <v>16</v>
      </c>
      <c r="C23" s="23">
        <v>17</v>
      </c>
      <c r="D23" s="23">
        <v>2</v>
      </c>
      <c r="E23" s="23">
        <v>4</v>
      </c>
      <c r="F23" s="23">
        <v>3</v>
      </c>
      <c r="G23" s="23">
        <v>7</v>
      </c>
      <c r="H23" s="23">
        <v>0</v>
      </c>
      <c r="I23" s="23">
        <v>1</v>
      </c>
    </row>
    <row r="24" spans="1:9" ht="18" x14ac:dyDescent="0.35">
      <c r="A24" s="4" t="s">
        <v>152</v>
      </c>
      <c r="B24" s="1">
        <f>AVERAGE(B2:B23)</f>
        <v>11.818181818181818</v>
      </c>
      <c r="C24" s="1">
        <f t="shared" ref="C24:I24" si="0">AVERAGE(C2:C23)</f>
        <v>12.136363636363637</v>
      </c>
      <c r="D24" s="1">
        <f t="shared" si="0"/>
        <v>0.36363636363636365</v>
      </c>
      <c r="E24" s="1">
        <f t="shared" si="0"/>
        <v>1.7272727272727273</v>
      </c>
      <c r="F24" s="1">
        <f t="shared" si="0"/>
        <v>2.0454545454545454</v>
      </c>
      <c r="G24" s="1">
        <f t="shared" si="0"/>
        <v>5.4090909090909092</v>
      </c>
      <c r="H24" s="1">
        <f t="shared" si="0"/>
        <v>0</v>
      </c>
      <c r="I24" s="1">
        <f t="shared" si="0"/>
        <v>2.5909090909090908</v>
      </c>
    </row>
    <row r="25" spans="1:9" ht="18" x14ac:dyDescent="0.35">
      <c r="A25" s="7" t="s">
        <v>49</v>
      </c>
      <c r="B25" s="8">
        <f>SUM(B2:B23)</f>
        <v>260</v>
      </c>
      <c r="C25" s="8">
        <f t="shared" ref="C25:I25" si="1">SUM(C2:C23)</f>
        <v>267</v>
      </c>
      <c r="D25" s="8">
        <f t="shared" si="1"/>
        <v>8</v>
      </c>
      <c r="E25" s="8">
        <f t="shared" si="1"/>
        <v>38</v>
      </c>
      <c r="F25" s="8">
        <f t="shared" si="1"/>
        <v>45</v>
      </c>
      <c r="G25" s="8">
        <f t="shared" si="1"/>
        <v>119</v>
      </c>
      <c r="H25" s="8">
        <f t="shared" si="1"/>
        <v>0</v>
      </c>
      <c r="I25" s="8">
        <f t="shared" si="1"/>
        <v>57</v>
      </c>
    </row>
    <row r="26" spans="1:9" ht="18" x14ac:dyDescent="0.35">
      <c r="A26" s="10" t="s">
        <v>50</v>
      </c>
      <c r="B26" s="16"/>
      <c r="C26" s="16"/>
      <c r="D26" s="9">
        <f>(D25*100)/C25</f>
        <v>2.9962546816479403</v>
      </c>
      <c r="E26" s="9">
        <f>(E25*100)/C25</f>
        <v>14.232209737827715</v>
      </c>
      <c r="F26" s="9">
        <f>(F25*100)/C25</f>
        <v>16.853932584269664</v>
      </c>
      <c r="G26" s="9">
        <f>(G25*100)/C25</f>
        <v>44.569288389513112</v>
      </c>
      <c r="H26" s="9">
        <f>(H25*100)/C25</f>
        <v>0</v>
      </c>
      <c r="I26" s="9">
        <f>(I25*100)/C25</f>
        <v>21.348314606741575</v>
      </c>
    </row>
  </sheetData>
  <autoFilter ref="A1:I26" xr:uid="{17694E79-6F5E-4254-9435-AA1A7531D573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707C-91C2-4E1E-B8D4-8F54976AD195}">
  <dimension ref="A1:I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4" sqref="A24"/>
    </sheetView>
  </sheetViews>
  <sheetFormatPr defaultRowHeight="14.4" x14ac:dyDescent="0.3"/>
  <cols>
    <col min="1" max="1" width="26.6640625" customWidth="1"/>
    <col min="2" max="2" width="13.33203125" customWidth="1"/>
    <col min="3" max="3" width="14.44140625" customWidth="1"/>
    <col min="4" max="5" width="14.5546875" customWidth="1"/>
    <col min="6" max="6" width="14.44140625" customWidth="1"/>
    <col min="7" max="7" width="12.33203125" customWidth="1"/>
    <col min="8" max="8" width="19.33203125" customWidth="1"/>
    <col min="9" max="9" width="13.6640625" customWidth="1"/>
  </cols>
  <sheetData>
    <row r="1" spans="1:9" s="2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s="24">
        <v>45078</v>
      </c>
      <c r="B2" s="3">
        <v>18</v>
      </c>
      <c r="C2" s="3">
        <v>18</v>
      </c>
      <c r="D2" s="3">
        <v>5</v>
      </c>
      <c r="E2" s="3">
        <v>4</v>
      </c>
      <c r="F2" s="3">
        <v>1</v>
      </c>
      <c r="G2" s="3">
        <v>6</v>
      </c>
      <c r="H2" s="3">
        <v>0</v>
      </c>
      <c r="I2" s="3">
        <v>2</v>
      </c>
    </row>
    <row r="3" spans="1:9" x14ac:dyDescent="0.3">
      <c r="A3" s="24">
        <v>45079</v>
      </c>
      <c r="B3" s="3">
        <v>23</v>
      </c>
      <c r="C3" s="3">
        <v>16</v>
      </c>
      <c r="D3" s="3">
        <v>0</v>
      </c>
      <c r="E3" s="3">
        <v>3</v>
      </c>
      <c r="F3" s="3">
        <v>7</v>
      </c>
      <c r="G3" s="3">
        <v>2</v>
      </c>
      <c r="H3" s="3">
        <v>0</v>
      </c>
      <c r="I3" s="3">
        <v>4</v>
      </c>
    </row>
    <row r="4" spans="1:9" x14ac:dyDescent="0.3">
      <c r="A4" s="24">
        <v>45082</v>
      </c>
      <c r="B4" s="3">
        <v>10</v>
      </c>
      <c r="C4" s="3">
        <v>20</v>
      </c>
      <c r="D4" s="3">
        <v>0</v>
      </c>
      <c r="E4" s="3">
        <v>3</v>
      </c>
      <c r="F4" s="3">
        <v>11</v>
      </c>
      <c r="G4" s="3">
        <v>6</v>
      </c>
      <c r="H4" s="3">
        <v>0</v>
      </c>
      <c r="I4" s="3">
        <v>0</v>
      </c>
    </row>
    <row r="5" spans="1:9" x14ac:dyDescent="0.3">
      <c r="A5" s="24">
        <v>45083</v>
      </c>
      <c r="B5" s="3">
        <v>6</v>
      </c>
      <c r="C5" s="3">
        <v>5</v>
      </c>
      <c r="D5" s="3">
        <v>0</v>
      </c>
      <c r="E5" s="3">
        <v>0</v>
      </c>
      <c r="F5" s="3">
        <v>2</v>
      </c>
      <c r="G5" s="3">
        <v>2</v>
      </c>
      <c r="H5" s="3">
        <v>0</v>
      </c>
      <c r="I5" s="3">
        <v>1</v>
      </c>
    </row>
    <row r="6" spans="1:9" x14ac:dyDescent="0.3">
      <c r="A6" s="24">
        <v>45084</v>
      </c>
      <c r="B6" s="3">
        <v>6</v>
      </c>
      <c r="C6" s="3">
        <v>7</v>
      </c>
      <c r="D6" s="3">
        <v>0</v>
      </c>
      <c r="E6" s="3">
        <v>3</v>
      </c>
      <c r="F6" s="3">
        <v>2</v>
      </c>
      <c r="G6" s="3">
        <v>1</v>
      </c>
      <c r="H6" s="3">
        <v>0</v>
      </c>
      <c r="I6" s="3">
        <v>1</v>
      </c>
    </row>
    <row r="7" spans="1:9" x14ac:dyDescent="0.3">
      <c r="A7" s="24">
        <v>45085</v>
      </c>
      <c r="B7" s="3">
        <v>0</v>
      </c>
      <c r="C7" s="3">
        <v>1</v>
      </c>
      <c r="D7" s="3">
        <v>0</v>
      </c>
      <c r="E7" s="3">
        <v>1</v>
      </c>
      <c r="F7" s="3">
        <v>0</v>
      </c>
      <c r="G7" s="3">
        <v>0</v>
      </c>
      <c r="H7" s="3">
        <v>0</v>
      </c>
      <c r="I7" s="3">
        <v>0</v>
      </c>
    </row>
    <row r="8" spans="1:9" x14ac:dyDescent="0.3">
      <c r="A8" s="24">
        <v>45086</v>
      </c>
      <c r="B8" s="3">
        <v>14</v>
      </c>
      <c r="C8" s="3">
        <v>9</v>
      </c>
      <c r="D8" s="3">
        <v>3</v>
      </c>
      <c r="E8" s="3">
        <v>0</v>
      </c>
      <c r="F8" s="3">
        <v>1</v>
      </c>
      <c r="G8" s="3">
        <v>5</v>
      </c>
      <c r="H8" s="3">
        <v>0</v>
      </c>
      <c r="I8" s="3">
        <v>0</v>
      </c>
    </row>
    <row r="9" spans="1:9" x14ac:dyDescent="0.3">
      <c r="A9" s="24">
        <v>45089</v>
      </c>
      <c r="B9" s="3">
        <v>18</v>
      </c>
      <c r="C9" s="3">
        <v>8</v>
      </c>
      <c r="D9" s="3">
        <v>2</v>
      </c>
      <c r="E9" s="3">
        <v>1</v>
      </c>
      <c r="F9" s="3">
        <v>1</v>
      </c>
      <c r="G9" s="3">
        <v>2</v>
      </c>
      <c r="H9" s="3">
        <v>0</v>
      </c>
      <c r="I9" s="3">
        <v>2</v>
      </c>
    </row>
    <row r="10" spans="1:9" x14ac:dyDescent="0.3">
      <c r="A10" s="24">
        <v>45090</v>
      </c>
      <c r="B10" s="3">
        <v>16</v>
      </c>
      <c r="C10" s="3">
        <v>29</v>
      </c>
      <c r="D10" s="3">
        <v>1</v>
      </c>
      <c r="E10" s="3">
        <v>3</v>
      </c>
      <c r="F10" s="3">
        <v>4</v>
      </c>
      <c r="G10" s="3">
        <v>20</v>
      </c>
      <c r="H10" s="3">
        <v>0</v>
      </c>
      <c r="I10" s="3">
        <v>1</v>
      </c>
    </row>
    <row r="11" spans="1:9" x14ac:dyDescent="0.3">
      <c r="A11" s="24">
        <v>45091</v>
      </c>
      <c r="B11" s="3">
        <v>18</v>
      </c>
      <c r="C11" s="3">
        <v>13</v>
      </c>
      <c r="D11" s="3">
        <v>2</v>
      </c>
      <c r="E11" s="3">
        <v>1</v>
      </c>
      <c r="F11" s="3">
        <v>2</v>
      </c>
      <c r="G11" s="3">
        <v>6</v>
      </c>
      <c r="H11" s="3">
        <v>0</v>
      </c>
      <c r="I11" s="3">
        <v>2</v>
      </c>
    </row>
    <row r="12" spans="1:9" x14ac:dyDescent="0.3">
      <c r="A12" s="24">
        <v>45092</v>
      </c>
      <c r="B12" s="3">
        <v>11</v>
      </c>
      <c r="C12" s="3">
        <v>12</v>
      </c>
      <c r="D12" s="3">
        <v>1</v>
      </c>
      <c r="E12" s="3">
        <v>2</v>
      </c>
      <c r="F12" s="3">
        <v>3</v>
      </c>
      <c r="G12" s="3">
        <v>4</v>
      </c>
      <c r="H12" s="3">
        <v>0</v>
      </c>
      <c r="I12" s="3">
        <v>2</v>
      </c>
    </row>
    <row r="13" spans="1:9" x14ac:dyDescent="0.3">
      <c r="A13" s="24">
        <v>45093</v>
      </c>
      <c r="B13" s="3">
        <v>16</v>
      </c>
      <c r="C13" s="3">
        <v>13</v>
      </c>
      <c r="D13" s="3">
        <v>1</v>
      </c>
      <c r="E13" s="3">
        <v>1</v>
      </c>
      <c r="F13" s="3">
        <v>0</v>
      </c>
      <c r="G13" s="3">
        <v>5</v>
      </c>
      <c r="H13" s="3">
        <v>0</v>
      </c>
      <c r="I13" s="3">
        <v>6</v>
      </c>
    </row>
    <row r="14" spans="1:9" x14ac:dyDescent="0.3">
      <c r="A14" s="24">
        <v>45096</v>
      </c>
      <c r="B14" s="3">
        <v>9</v>
      </c>
      <c r="C14" s="3">
        <v>8</v>
      </c>
      <c r="D14" s="3">
        <v>0</v>
      </c>
      <c r="E14" s="3">
        <v>1</v>
      </c>
      <c r="F14" s="3">
        <v>1</v>
      </c>
      <c r="G14" s="3">
        <v>5</v>
      </c>
      <c r="H14" s="3">
        <v>0</v>
      </c>
      <c r="I14" s="3">
        <v>1</v>
      </c>
    </row>
    <row r="15" spans="1:9" x14ac:dyDescent="0.3">
      <c r="A15" s="24">
        <v>45097</v>
      </c>
      <c r="B15" s="3">
        <v>3</v>
      </c>
      <c r="C15" s="3">
        <v>4</v>
      </c>
      <c r="D15" s="3">
        <v>0</v>
      </c>
      <c r="E15" s="3">
        <v>2</v>
      </c>
      <c r="F15" s="3">
        <v>1</v>
      </c>
      <c r="G15" s="3">
        <v>1</v>
      </c>
      <c r="H15" s="3">
        <v>0</v>
      </c>
      <c r="I15" s="3">
        <v>0</v>
      </c>
    </row>
    <row r="16" spans="1:9" x14ac:dyDescent="0.3">
      <c r="A16" s="24">
        <v>45098</v>
      </c>
      <c r="B16" s="3">
        <v>7</v>
      </c>
      <c r="C16" s="3">
        <v>7</v>
      </c>
      <c r="D16" s="3">
        <v>1</v>
      </c>
      <c r="E16" s="3">
        <v>2</v>
      </c>
      <c r="F16" s="3">
        <v>1</v>
      </c>
      <c r="G16" s="3">
        <v>2</v>
      </c>
      <c r="H16" s="3">
        <v>0</v>
      </c>
      <c r="I16" s="3">
        <v>1</v>
      </c>
    </row>
    <row r="17" spans="1:9" x14ac:dyDescent="0.3">
      <c r="A17" s="24">
        <v>45099</v>
      </c>
      <c r="B17" s="3">
        <v>13</v>
      </c>
      <c r="C17" s="3">
        <v>14</v>
      </c>
      <c r="D17" s="3">
        <v>1</v>
      </c>
      <c r="E17" s="3">
        <v>1</v>
      </c>
      <c r="F17" s="3">
        <v>2</v>
      </c>
      <c r="G17" s="3">
        <v>10</v>
      </c>
      <c r="H17" s="3">
        <v>0</v>
      </c>
      <c r="I17" s="3">
        <v>0</v>
      </c>
    </row>
    <row r="18" spans="1:9" x14ac:dyDescent="0.3">
      <c r="A18" s="24">
        <v>45100</v>
      </c>
      <c r="B18" s="3">
        <v>26</v>
      </c>
      <c r="C18" s="3">
        <v>9</v>
      </c>
      <c r="D18" s="3">
        <v>0</v>
      </c>
      <c r="E18" s="3">
        <v>1</v>
      </c>
      <c r="F18" s="3">
        <v>1</v>
      </c>
      <c r="G18" s="3">
        <v>6</v>
      </c>
      <c r="H18" s="3">
        <v>0</v>
      </c>
      <c r="I18" s="3">
        <v>1</v>
      </c>
    </row>
    <row r="19" spans="1:9" x14ac:dyDescent="0.3">
      <c r="A19" s="24">
        <v>45103</v>
      </c>
      <c r="B19" s="3">
        <v>7</v>
      </c>
      <c r="C19" s="3">
        <v>5</v>
      </c>
      <c r="D19" s="3">
        <v>1</v>
      </c>
      <c r="E19" s="3">
        <v>1</v>
      </c>
      <c r="F19" s="3">
        <v>0</v>
      </c>
      <c r="G19" s="3">
        <v>2</v>
      </c>
      <c r="H19" s="3">
        <v>0</v>
      </c>
      <c r="I19" s="3">
        <v>1</v>
      </c>
    </row>
    <row r="20" spans="1:9" x14ac:dyDescent="0.3">
      <c r="A20" s="24">
        <v>45104</v>
      </c>
      <c r="B20" s="3">
        <v>12</v>
      </c>
      <c r="C20" s="3">
        <v>20</v>
      </c>
      <c r="D20" s="3">
        <v>0</v>
      </c>
      <c r="E20" s="3">
        <v>0</v>
      </c>
      <c r="F20" s="3">
        <v>0</v>
      </c>
      <c r="G20" s="3">
        <v>14</v>
      </c>
      <c r="H20" s="3">
        <v>0</v>
      </c>
      <c r="I20" s="3">
        <v>6</v>
      </c>
    </row>
    <row r="21" spans="1:9" x14ac:dyDescent="0.3">
      <c r="A21" s="24">
        <v>45105</v>
      </c>
      <c r="B21" s="3">
        <v>15</v>
      </c>
      <c r="C21" s="3">
        <v>21</v>
      </c>
      <c r="D21" s="3">
        <v>0</v>
      </c>
      <c r="E21" s="3">
        <v>8</v>
      </c>
      <c r="F21" s="3">
        <v>2</v>
      </c>
      <c r="G21" s="3">
        <v>8</v>
      </c>
      <c r="H21" s="3">
        <v>0</v>
      </c>
      <c r="I21" s="3">
        <v>3</v>
      </c>
    </row>
    <row r="22" spans="1:9" x14ac:dyDescent="0.3">
      <c r="A22" s="24">
        <v>45106</v>
      </c>
      <c r="B22" s="3">
        <v>15</v>
      </c>
      <c r="C22" s="3">
        <v>10</v>
      </c>
      <c r="D22" s="3">
        <v>1</v>
      </c>
      <c r="E22" s="3">
        <v>3</v>
      </c>
      <c r="F22" s="3">
        <v>0</v>
      </c>
      <c r="G22" s="3">
        <v>5</v>
      </c>
      <c r="H22" s="3">
        <v>0</v>
      </c>
      <c r="I22" s="3">
        <v>1</v>
      </c>
    </row>
    <row r="23" spans="1:9" x14ac:dyDescent="0.3">
      <c r="A23" s="24">
        <v>45107</v>
      </c>
      <c r="B23" s="3">
        <v>14</v>
      </c>
      <c r="C23" s="3">
        <v>16</v>
      </c>
      <c r="D23" s="3">
        <v>3</v>
      </c>
      <c r="E23" s="3">
        <v>6</v>
      </c>
      <c r="F23" s="3">
        <v>1</v>
      </c>
      <c r="G23" s="3">
        <v>2</v>
      </c>
      <c r="H23" s="3">
        <v>0</v>
      </c>
      <c r="I23" s="3">
        <v>4</v>
      </c>
    </row>
    <row r="24" spans="1:9" ht="18" x14ac:dyDescent="0.35">
      <c r="A24" s="4" t="s">
        <v>152</v>
      </c>
      <c r="B24" s="1">
        <f>AVERAGE(B2:B23)</f>
        <v>12.590909090909092</v>
      </c>
      <c r="C24" s="1">
        <f t="shared" ref="C24:I24" si="0">AVERAGE(C2:C23)</f>
        <v>12.045454545454545</v>
      </c>
      <c r="D24" s="1">
        <f t="shared" si="0"/>
        <v>1</v>
      </c>
      <c r="E24" s="1">
        <f t="shared" si="0"/>
        <v>2.1363636363636362</v>
      </c>
      <c r="F24" s="1">
        <f t="shared" si="0"/>
        <v>1.9545454545454546</v>
      </c>
      <c r="G24" s="1">
        <f t="shared" si="0"/>
        <v>5.1818181818181817</v>
      </c>
      <c r="H24" s="1">
        <f t="shared" si="0"/>
        <v>0</v>
      </c>
      <c r="I24" s="1">
        <f t="shared" si="0"/>
        <v>1.7727272727272727</v>
      </c>
    </row>
    <row r="25" spans="1:9" ht="18" x14ac:dyDescent="0.35">
      <c r="A25" s="7" t="s">
        <v>49</v>
      </c>
      <c r="B25" s="8">
        <f>SUM(B2:B23)</f>
        <v>277</v>
      </c>
      <c r="C25" s="8">
        <f t="shared" ref="C25:I25" si="1">SUM(C2:C23)</f>
        <v>265</v>
      </c>
      <c r="D25" s="8">
        <f t="shared" si="1"/>
        <v>22</v>
      </c>
      <c r="E25" s="8">
        <f t="shared" si="1"/>
        <v>47</v>
      </c>
      <c r="F25" s="8">
        <f t="shared" si="1"/>
        <v>43</v>
      </c>
      <c r="G25" s="8">
        <f t="shared" si="1"/>
        <v>114</v>
      </c>
      <c r="H25" s="8">
        <f t="shared" si="1"/>
        <v>0</v>
      </c>
      <c r="I25" s="8">
        <f t="shared" si="1"/>
        <v>39</v>
      </c>
    </row>
    <row r="26" spans="1:9" ht="18" x14ac:dyDescent="0.35">
      <c r="A26" s="10" t="s">
        <v>50</v>
      </c>
      <c r="B26" s="16"/>
      <c r="C26" s="16"/>
      <c r="D26" s="9">
        <f>(D25*100)/C25</f>
        <v>8.3018867924528301</v>
      </c>
      <c r="E26" s="9">
        <f>(E25*100)/C25</f>
        <v>17.735849056603772</v>
      </c>
      <c r="F26" s="9">
        <f>(F25*100)/C25</f>
        <v>16.226415094339622</v>
      </c>
      <c r="G26" s="9">
        <f>(G25*100)/C25</f>
        <v>43.018867924528301</v>
      </c>
      <c r="H26" s="9">
        <f>(H25*100)/C25</f>
        <v>0</v>
      </c>
      <c r="I26" s="9">
        <f>(I25*100)/C25</f>
        <v>14.716981132075471</v>
      </c>
    </row>
  </sheetData>
  <autoFilter ref="A1:I23" xr:uid="{2C11707C-91C2-4E1E-B8D4-8F54976AD195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881F-7CF4-4552-83BF-E7BF5569FD80}">
  <dimension ref="A1:I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09375" defaultRowHeight="14.4" x14ac:dyDescent="0.3"/>
  <cols>
    <col min="1" max="1" width="37.88671875" style="17" customWidth="1"/>
    <col min="2" max="2" width="15.44140625" style="17" customWidth="1"/>
    <col min="3" max="3" width="16" style="17" customWidth="1"/>
    <col min="4" max="4" width="16.44140625" style="17" customWidth="1"/>
    <col min="5" max="5" width="15.109375" style="17" customWidth="1"/>
    <col min="6" max="6" width="17.33203125" style="17" customWidth="1"/>
    <col min="7" max="7" width="16.6640625" style="17" customWidth="1"/>
    <col min="8" max="8" width="21.44140625" style="17" customWidth="1"/>
    <col min="9" max="9" width="15.88671875" style="17" customWidth="1"/>
    <col min="10" max="16384" width="9.109375" style="6"/>
  </cols>
  <sheetData>
    <row r="1" spans="1:9" s="18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130</v>
      </c>
      <c r="G1" s="5" t="s">
        <v>6</v>
      </c>
      <c r="H1" s="5" t="s">
        <v>7</v>
      </c>
      <c r="I1" s="5" t="s">
        <v>8</v>
      </c>
    </row>
    <row r="2" spans="1:9" x14ac:dyDescent="0.3">
      <c r="A2" s="3" t="s">
        <v>131</v>
      </c>
      <c r="B2" s="3">
        <v>13</v>
      </c>
      <c r="C2" s="3">
        <v>13</v>
      </c>
      <c r="D2" s="3">
        <v>0</v>
      </c>
      <c r="E2" s="3">
        <v>2</v>
      </c>
      <c r="F2" s="3">
        <v>3</v>
      </c>
      <c r="G2" s="3">
        <v>6</v>
      </c>
      <c r="H2" s="3">
        <v>0</v>
      </c>
      <c r="I2" s="3">
        <v>2</v>
      </c>
    </row>
    <row r="3" spans="1:9" x14ac:dyDescent="0.3">
      <c r="A3" s="3" t="s">
        <v>132</v>
      </c>
      <c r="B3" s="3">
        <v>13</v>
      </c>
      <c r="C3" s="3">
        <v>15</v>
      </c>
      <c r="D3" s="3">
        <v>0</v>
      </c>
      <c r="E3" s="3">
        <v>1</v>
      </c>
      <c r="F3" s="3">
        <v>2</v>
      </c>
      <c r="G3" s="3">
        <v>10</v>
      </c>
      <c r="H3" s="3">
        <v>0</v>
      </c>
      <c r="I3" s="3">
        <v>2</v>
      </c>
    </row>
    <row r="4" spans="1:9" x14ac:dyDescent="0.3">
      <c r="A4" s="3" t="s">
        <v>133</v>
      </c>
      <c r="B4" s="3">
        <v>10</v>
      </c>
      <c r="C4" s="3">
        <v>11</v>
      </c>
      <c r="D4" s="3">
        <v>1</v>
      </c>
      <c r="E4" s="3">
        <v>2</v>
      </c>
      <c r="F4" s="3">
        <v>2</v>
      </c>
      <c r="G4" s="3">
        <v>5</v>
      </c>
      <c r="H4" s="3">
        <v>0</v>
      </c>
      <c r="I4" s="3">
        <v>1</v>
      </c>
    </row>
    <row r="5" spans="1:9" x14ac:dyDescent="0.3">
      <c r="A5" s="3" t="s">
        <v>134</v>
      </c>
      <c r="B5" s="3">
        <v>14</v>
      </c>
      <c r="C5" s="3">
        <v>8</v>
      </c>
      <c r="D5" s="3">
        <v>2</v>
      </c>
      <c r="E5" s="3">
        <v>0</v>
      </c>
      <c r="F5" s="3">
        <v>4</v>
      </c>
      <c r="G5" s="3">
        <v>1</v>
      </c>
      <c r="H5" s="3">
        <v>0</v>
      </c>
      <c r="I5" s="3">
        <v>1</v>
      </c>
    </row>
    <row r="6" spans="1:9" x14ac:dyDescent="0.3">
      <c r="A6" s="3" t="s">
        <v>135</v>
      </c>
      <c r="B6" s="3">
        <v>11</v>
      </c>
      <c r="C6" s="3">
        <v>11</v>
      </c>
      <c r="D6" s="3">
        <v>1</v>
      </c>
      <c r="E6" s="3">
        <v>2</v>
      </c>
      <c r="F6" s="3">
        <v>0</v>
      </c>
      <c r="G6" s="3">
        <v>6</v>
      </c>
      <c r="H6" s="3">
        <v>0</v>
      </c>
      <c r="I6" s="3">
        <v>2</v>
      </c>
    </row>
    <row r="7" spans="1:9" x14ac:dyDescent="0.3">
      <c r="A7" s="3" t="s">
        <v>136</v>
      </c>
      <c r="B7" s="3">
        <v>9</v>
      </c>
      <c r="C7" s="3">
        <v>10</v>
      </c>
      <c r="D7" s="3">
        <v>0</v>
      </c>
      <c r="E7" s="3">
        <v>1</v>
      </c>
      <c r="F7" s="3">
        <v>0</v>
      </c>
      <c r="G7" s="3">
        <v>4</v>
      </c>
      <c r="H7" s="3">
        <v>0</v>
      </c>
      <c r="I7" s="3">
        <v>5</v>
      </c>
    </row>
    <row r="8" spans="1:9" x14ac:dyDescent="0.3">
      <c r="A8" s="3" t="s">
        <v>137</v>
      </c>
      <c r="B8" s="3">
        <v>6</v>
      </c>
      <c r="C8" s="3">
        <v>7</v>
      </c>
      <c r="D8" s="3">
        <v>0</v>
      </c>
      <c r="E8" s="3">
        <v>1</v>
      </c>
      <c r="F8" s="3">
        <v>2</v>
      </c>
      <c r="G8" s="3">
        <v>3</v>
      </c>
      <c r="H8" s="3">
        <v>0</v>
      </c>
      <c r="I8" s="3">
        <v>1</v>
      </c>
    </row>
    <row r="9" spans="1:9" x14ac:dyDescent="0.3">
      <c r="A9" s="3" t="s">
        <v>138</v>
      </c>
      <c r="B9" s="3">
        <v>9</v>
      </c>
      <c r="C9" s="3">
        <v>13</v>
      </c>
      <c r="D9" s="3">
        <v>0</v>
      </c>
      <c r="E9" s="3">
        <v>2</v>
      </c>
      <c r="F9" s="3">
        <v>2</v>
      </c>
      <c r="G9" s="3">
        <v>6</v>
      </c>
      <c r="H9" s="3">
        <v>0</v>
      </c>
      <c r="I9" s="3">
        <v>3</v>
      </c>
    </row>
    <row r="10" spans="1:9" x14ac:dyDescent="0.3">
      <c r="A10" s="3" t="s">
        <v>139</v>
      </c>
      <c r="B10" s="3">
        <v>5</v>
      </c>
      <c r="C10" s="3">
        <v>6</v>
      </c>
      <c r="D10" s="3">
        <v>0</v>
      </c>
      <c r="E10" s="3">
        <v>1</v>
      </c>
      <c r="F10" s="3">
        <v>4</v>
      </c>
      <c r="G10" s="3">
        <v>1</v>
      </c>
      <c r="H10" s="3">
        <v>0</v>
      </c>
      <c r="I10" s="3">
        <v>0</v>
      </c>
    </row>
    <row r="11" spans="1:9" x14ac:dyDescent="0.3">
      <c r="A11" s="3" t="s">
        <v>140</v>
      </c>
      <c r="B11" s="3">
        <v>5</v>
      </c>
      <c r="C11" s="3">
        <v>6</v>
      </c>
      <c r="D11" s="3">
        <v>0</v>
      </c>
      <c r="E11" s="3">
        <v>0</v>
      </c>
      <c r="F11" s="3">
        <v>0</v>
      </c>
      <c r="G11" s="3">
        <v>3</v>
      </c>
      <c r="H11" s="3">
        <v>0</v>
      </c>
      <c r="I11" s="3">
        <v>3</v>
      </c>
    </row>
    <row r="12" spans="1:9" x14ac:dyDescent="0.3">
      <c r="A12" s="3" t="s">
        <v>141</v>
      </c>
      <c r="B12" s="3">
        <v>6</v>
      </c>
      <c r="C12" s="3">
        <v>9</v>
      </c>
      <c r="D12" s="3">
        <v>0</v>
      </c>
      <c r="E12" s="3">
        <v>3</v>
      </c>
      <c r="F12" s="3">
        <v>0</v>
      </c>
      <c r="G12" s="3">
        <v>6</v>
      </c>
      <c r="H12" s="3">
        <v>0</v>
      </c>
      <c r="I12" s="3">
        <v>0</v>
      </c>
    </row>
    <row r="13" spans="1:9" x14ac:dyDescent="0.3">
      <c r="A13" s="3" t="s">
        <v>142</v>
      </c>
      <c r="B13" s="3">
        <v>6</v>
      </c>
      <c r="C13" s="3">
        <v>7</v>
      </c>
      <c r="D13" s="3">
        <v>0</v>
      </c>
      <c r="E13" s="3">
        <v>1</v>
      </c>
      <c r="F13" s="3">
        <v>2</v>
      </c>
      <c r="G13" s="3">
        <v>4</v>
      </c>
      <c r="H13" s="3">
        <v>0</v>
      </c>
      <c r="I13" s="3">
        <v>0</v>
      </c>
    </row>
    <row r="14" spans="1:9" x14ac:dyDescent="0.3">
      <c r="A14" s="3" t="s">
        <v>143</v>
      </c>
      <c r="B14" s="3">
        <v>17</v>
      </c>
      <c r="C14" s="3">
        <v>13</v>
      </c>
      <c r="D14" s="3">
        <v>0</v>
      </c>
      <c r="E14" s="3">
        <v>1</v>
      </c>
      <c r="F14" s="3">
        <v>2</v>
      </c>
      <c r="G14" s="3">
        <v>10</v>
      </c>
      <c r="H14" s="3">
        <v>0</v>
      </c>
      <c r="I14" s="3">
        <v>0</v>
      </c>
    </row>
    <row r="15" spans="1:9" x14ac:dyDescent="0.3">
      <c r="A15" s="3" t="s">
        <v>144</v>
      </c>
      <c r="B15" s="3">
        <v>5</v>
      </c>
      <c r="C15" s="3">
        <v>4</v>
      </c>
      <c r="D15" s="3">
        <v>1</v>
      </c>
      <c r="E15" s="3">
        <v>0</v>
      </c>
      <c r="F15" s="3">
        <v>0</v>
      </c>
      <c r="G15" s="3">
        <v>3</v>
      </c>
      <c r="H15" s="3">
        <v>0</v>
      </c>
      <c r="I15" s="3">
        <v>0</v>
      </c>
    </row>
    <row r="16" spans="1:9" x14ac:dyDescent="0.3">
      <c r="A16" s="3" t="s">
        <v>145</v>
      </c>
      <c r="B16" s="3">
        <v>7</v>
      </c>
      <c r="C16" s="3">
        <v>8</v>
      </c>
      <c r="D16" s="3">
        <v>0</v>
      </c>
      <c r="E16" s="3">
        <v>0</v>
      </c>
      <c r="F16" s="3">
        <v>0</v>
      </c>
      <c r="G16" s="3">
        <v>8</v>
      </c>
      <c r="H16" s="3">
        <v>0</v>
      </c>
      <c r="I16" s="3">
        <v>0</v>
      </c>
    </row>
    <row r="17" spans="1:9" x14ac:dyDescent="0.3">
      <c r="A17" s="3" t="s">
        <v>146</v>
      </c>
      <c r="B17" s="3">
        <v>5</v>
      </c>
      <c r="C17" s="3">
        <v>5</v>
      </c>
      <c r="D17" s="3">
        <v>0</v>
      </c>
      <c r="E17" s="3">
        <v>0</v>
      </c>
      <c r="F17" s="3">
        <v>2</v>
      </c>
      <c r="G17" s="3">
        <v>3</v>
      </c>
      <c r="H17" s="3">
        <v>0</v>
      </c>
      <c r="I17" s="3">
        <v>0</v>
      </c>
    </row>
    <row r="18" spans="1:9" x14ac:dyDescent="0.3">
      <c r="A18" s="3" t="s">
        <v>147</v>
      </c>
      <c r="B18" s="3">
        <v>6</v>
      </c>
      <c r="C18" s="3">
        <v>3</v>
      </c>
      <c r="D18" s="3">
        <v>0</v>
      </c>
      <c r="E18" s="3">
        <v>0</v>
      </c>
      <c r="F18" s="3">
        <v>1</v>
      </c>
      <c r="G18" s="3">
        <v>2</v>
      </c>
      <c r="H18" s="3">
        <v>0</v>
      </c>
      <c r="I18" s="3">
        <v>0</v>
      </c>
    </row>
    <row r="19" spans="1:9" x14ac:dyDescent="0.3">
      <c r="A19" s="3" t="s">
        <v>148</v>
      </c>
      <c r="B19" s="3">
        <v>8</v>
      </c>
      <c r="C19" s="3">
        <v>8</v>
      </c>
      <c r="D19" s="3">
        <v>1</v>
      </c>
      <c r="E19" s="3">
        <v>0</v>
      </c>
      <c r="F19" s="3">
        <v>2</v>
      </c>
      <c r="G19" s="3">
        <v>5</v>
      </c>
      <c r="H19" s="3">
        <v>0</v>
      </c>
      <c r="I19" s="3">
        <v>0</v>
      </c>
    </row>
    <row r="20" spans="1:9" x14ac:dyDescent="0.3">
      <c r="A20" s="3" t="s">
        <v>149</v>
      </c>
      <c r="B20" s="3">
        <v>7</v>
      </c>
      <c r="C20" s="3">
        <v>8</v>
      </c>
      <c r="D20" s="3">
        <v>2</v>
      </c>
      <c r="E20" s="3">
        <v>2</v>
      </c>
      <c r="F20" s="3">
        <v>4</v>
      </c>
      <c r="G20" s="3">
        <v>0</v>
      </c>
      <c r="H20" s="3">
        <v>0</v>
      </c>
      <c r="I20" s="3">
        <v>0</v>
      </c>
    </row>
    <row r="21" spans="1:9" x14ac:dyDescent="0.3">
      <c r="A21" s="3" t="s">
        <v>150</v>
      </c>
      <c r="B21" s="3">
        <v>8</v>
      </c>
      <c r="C21" s="3">
        <v>6</v>
      </c>
      <c r="D21" s="3">
        <v>0</v>
      </c>
      <c r="E21" s="3">
        <v>3</v>
      </c>
      <c r="F21" s="3">
        <v>3</v>
      </c>
      <c r="G21" s="3">
        <v>0</v>
      </c>
      <c r="H21" s="3">
        <v>0</v>
      </c>
      <c r="I21" s="3">
        <v>0</v>
      </c>
    </row>
    <row r="22" spans="1:9" x14ac:dyDescent="0.3">
      <c r="A22" s="3" t="s">
        <v>151</v>
      </c>
      <c r="B22" s="3">
        <v>12</v>
      </c>
      <c r="C22" s="3">
        <v>10</v>
      </c>
      <c r="D22" s="3">
        <v>0</v>
      </c>
      <c r="E22" s="3">
        <v>2</v>
      </c>
      <c r="F22" s="3">
        <v>7</v>
      </c>
      <c r="G22" s="3">
        <v>0</v>
      </c>
      <c r="H22" s="3">
        <v>0</v>
      </c>
      <c r="I22" s="3">
        <v>1</v>
      </c>
    </row>
    <row r="23" spans="1:9" ht="18" x14ac:dyDescent="0.35">
      <c r="A23" s="4" t="s">
        <v>152</v>
      </c>
      <c r="B23" s="1">
        <f>AVERAGE(B1:B22)</f>
        <v>8.6666666666666661</v>
      </c>
      <c r="C23" s="1">
        <f t="shared" ref="C23:I23" si="0">AVERAGE(C1:C22)</f>
        <v>8.6190476190476186</v>
      </c>
      <c r="D23" s="1">
        <f t="shared" si="0"/>
        <v>0.38095238095238093</v>
      </c>
      <c r="E23" s="1">
        <f t="shared" si="0"/>
        <v>1.1428571428571428</v>
      </c>
      <c r="F23" s="1">
        <f t="shared" si="0"/>
        <v>2</v>
      </c>
      <c r="G23" s="1">
        <f t="shared" si="0"/>
        <v>4.0952380952380949</v>
      </c>
      <c r="H23" s="1">
        <f t="shared" si="0"/>
        <v>0</v>
      </c>
      <c r="I23" s="1">
        <f t="shared" si="0"/>
        <v>1</v>
      </c>
    </row>
    <row r="24" spans="1:9" ht="18" x14ac:dyDescent="0.35">
      <c r="A24" s="7" t="s">
        <v>49</v>
      </c>
      <c r="B24" s="8">
        <f>SUM(B1:B22)</f>
        <v>182</v>
      </c>
      <c r="C24" s="8">
        <f t="shared" ref="C24:I24" si="1">SUM(C1:C22)</f>
        <v>181</v>
      </c>
      <c r="D24" s="8">
        <f t="shared" si="1"/>
        <v>8</v>
      </c>
      <c r="E24" s="8">
        <f t="shared" si="1"/>
        <v>24</v>
      </c>
      <c r="F24" s="8">
        <f t="shared" si="1"/>
        <v>42</v>
      </c>
      <c r="G24" s="8">
        <f t="shared" si="1"/>
        <v>86</v>
      </c>
      <c r="H24" s="8">
        <f t="shared" si="1"/>
        <v>0</v>
      </c>
      <c r="I24" s="8">
        <f t="shared" si="1"/>
        <v>21</v>
      </c>
    </row>
    <row r="25" spans="1:9" ht="18" x14ac:dyDescent="0.35">
      <c r="A25" s="10" t="s">
        <v>50</v>
      </c>
      <c r="B25" s="16"/>
      <c r="C25" s="16"/>
      <c r="D25" s="9">
        <f>(D24*100)/C24</f>
        <v>4.4198895027624312</v>
      </c>
      <c r="E25" s="9">
        <f>(E24*100)/C24</f>
        <v>13.259668508287293</v>
      </c>
      <c r="F25" s="9">
        <f>(F24*100)/C24</f>
        <v>23.204419889502763</v>
      </c>
      <c r="G25" s="9">
        <f>(G24*100)/C24</f>
        <v>47.513812154696133</v>
      </c>
      <c r="H25" s="9">
        <f>(H24*100)/C24</f>
        <v>0</v>
      </c>
      <c r="I25" s="9">
        <f>(I24*100)/C24</f>
        <v>11.602209944751381</v>
      </c>
    </row>
  </sheetData>
  <autoFilter ref="A1:I22" xr:uid="{8359881F-7CF4-4552-83BF-E7BF5569FD8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34D6-1BCE-4980-B888-CB6EE0DD508B}">
  <dimension ref="A1:I27"/>
  <sheetViews>
    <sheetView workbookViewId="0">
      <pane ySplit="1" topLeftCell="A2" activePane="bottomLeft" state="frozen"/>
      <selection pane="bottomLeft" activeCell="A25" sqref="A25:I27"/>
    </sheetView>
  </sheetViews>
  <sheetFormatPr defaultColWidth="9.109375" defaultRowHeight="14.4" x14ac:dyDescent="0.3"/>
  <cols>
    <col min="1" max="1" width="39.44140625" style="15" customWidth="1"/>
    <col min="2" max="2" width="16" style="15" customWidth="1"/>
    <col min="3" max="3" width="15.88671875" style="15" customWidth="1"/>
    <col min="4" max="4" width="16.109375" style="15" customWidth="1"/>
    <col min="5" max="7" width="16" style="15" customWidth="1"/>
    <col min="8" max="9" width="15.88671875" style="15" customWidth="1"/>
    <col min="10" max="16384" width="9.109375" style="15"/>
  </cols>
  <sheetData>
    <row r="1" spans="1:9" s="56" customFormat="1" x14ac:dyDescent="0.3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130</v>
      </c>
      <c r="G1" s="55" t="s">
        <v>6</v>
      </c>
      <c r="H1" s="55" t="s">
        <v>7</v>
      </c>
      <c r="I1" s="55" t="s">
        <v>8</v>
      </c>
    </row>
    <row r="2" spans="1:9" ht="16.8" x14ac:dyDescent="0.3">
      <c r="A2" s="54" t="s">
        <v>153</v>
      </c>
      <c r="B2" s="54">
        <v>10</v>
      </c>
      <c r="C2" s="54">
        <v>9</v>
      </c>
      <c r="D2" s="54">
        <v>0</v>
      </c>
      <c r="E2" s="54">
        <v>5</v>
      </c>
      <c r="F2" s="54">
        <v>3</v>
      </c>
      <c r="G2" s="54">
        <v>0</v>
      </c>
      <c r="H2" s="54">
        <v>0</v>
      </c>
      <c r="I2" s="54">
        <v>1</v>
      </c>
    </row>
    <row r="3" spans="1:9" ht="16.8" x14ac:dyDescent="0.3">
      <c r="A3" s="54" t="s">
        <v>154</v>
      </c>
      <c r="B3" s="54">
        <v>13</v>
      </c>
      <c r="C3" s="54">
        <v>16</v>
      </c>
      <c r="D3" s="54">
        <v>0</v>
      </c>
      <c r="E3" s="54">
        <v>8</v>
      </c>
      <c r="F3" s="54">
        <v>6</v>
      </c>
      <c r="G3" s="54">
        <v>0</v>
      </c>
      <c r="H3" s="54">
        <v>0</v>
      </c>
      <c r="I3" s="54">
        <v>2</v>
      </c>
    </row>
    <row r="4" spans="1:9" ht="16.8" x14ac:dyDescent="0.3">
      <c r="A4" s="54" t="s">
        <v>155</v>
      </c>
      <c r="B4" s="54">
        <v>9</v>
      </c>
      <c r="C4" s="54">
        <v>7</v>
      </c>
      <c r="D4" s="54">
        <v>1</v>
      </c>
      <c r="E4" s="54">
        <v>1</v>
      </c>
      <c r="F4" s="54">
        <v>5</v>
      </c>
      <c r="G4" s="54">
        <v>0</v>
      </c>
      <c r="H4" s="54">
        <v>0</v>
      </c>
      <c r="I4" s="54">
        <v>0</v>
      </c>
    </row>
    <row r="5" spans="1:9" ht="16.8" x14ac:dyDescent="0.3">
      <c r="A5" s="54" t="s">
        <v>156</v>
      </c>
      <c r="B5" s="54">
        <v>9</v>
      </c>
      <c r="C5" s="54">
        <v>7</v>
      </c>
      <c r="D5" s="54">
        <v>1</v>
      </c>
      <c r="E5" s="54">
        <v>0</v>
      </c>
      <c r="F5" s="54">
        <v>3</v>
      </c>
      <c r="G5" s="54">
        <v>0</v>
      </c>
      <c r="H5" s="54">
        <v>0</v>
      </c>
      <c r="I5" s="54">
        <v>3</v>
      </c>
    </row>
    <row r="6" spans="1:9" ht="16.8" x14ac:dyDescent="0.3">
      <c r="A6" s="54" t="s">
        <v>157</v>
      </c>
      <c r="B6" s="54">
        <v>4</v>
      </c>
      <c r="C6" s="54">
        <v>6</v>
      </c>
      <c r="D6" s="54">
        <v>0</v>
      </c>
      <c r="E6" s="54">
        <v>0</v>
      </c>
      <c r="F6" s="54">
        <v>2</v>
      </c>
      <c r="G6" s="54">
        <v>1</v>
      </c>
      <c r="H6" s="54">
        <v>0</v>
      </c>
      <c r="I6" s="54">
        <v>3</v>
      </c>
    </row>
    <row r="7" spans="1:9" ht="16.8" x14ac:dyDescent="0.3">
      <c r="A7" s="54" t="s">
        <v>158</v>
      </c>
      <c r="B7" s="54">
        <v>6</v>
      </c>
      <c r="C7" s="54">
        <v>6</v>
      </c>
      <c r="D7" s="54">
        <v>1</v>
      </c>
      <c r="E7" s="54">
        <v>1</v>
      </c>
      <c r="F7" s="54">
        <v>2</v>
      </c>
      <c r="G7" s="54">
        <v>2</v>
      </c>
      <c r="H7" s="54">
        <v>0</v>
      </c>
      <c r="I7" s="54">
        <v>0</v>
      </c>
    </row>
    <row r="8" spans="1:9" ht="16.8" x14ac:dyDescent="0.3">
      <c r="A8" s="54" t="s">
        <v>159</v>
      </c>
      <c r="B8" s="54">
        <v>9</v>
      </c>
      <c r="C8" s="54">
        <v>3</v>
      </c>
      <c r="D8" s="54">
        <v>0</v>
      </c>
      <c r="E8" s="54">
        <v>1</v>
      </c>
      <c r="F8" s="54">
        <v>0</v>
      </c>
      <c r="G8" s="54">
        <v>2</v>
      </c>
      <c r="H8" s="54">
        <v>0</v>
      </c>
      <c r="I8" s="54">
        <v>0</v>
      </c>
    </row>
    <row r="9" spans="1:9" ht="16.8" x14ac:dyDescent="0.3">
      <c r="A9" s="54" t="s">
        <v>160</v>
      </c>
      <c r="B9" s="54">
        <v>8</v>
      </c>
      <c r="C9" s="54">
        <v>12</v>
      </c>
      <c r="D9" s="54">
        <v>0</v>
      </c>
      <c r="E9" s="54">
        <v>4</v>
      </c>
      <c r="F9" s="54">
        <v>1</v>
      </c>
      <c r="G9" s="54">
        <v>4</v>
      </c>
      <c r="H9" s="54">
        <v>0</v>
      </c>
      <c r="I9" s="54">
        <v>3</v>
      </c>
    </row>
    <row r="10" spans="1:9" ht="16.8" x14ac:dyDescent="0.3">
      <c r="A10" s="54" t="s">
        <v>161</v>
      </c>
      <c r="B10" s="54">
        <v>9</v>
      </c>
      <c r="C10" s="54">
        <v>12</v>
      </c>
      <c r="D10" s="54">
        <v>1</v>
      </c>
      <c r="E10" s="54">
        <v>1</v>
      </c>
      <c r="F10" s="54">
        <v>6</v>
      </c>
      <c r="G10" s="54">
        <v>2</v>
      </c>
      <c r="H10" s="54">
        <v>0</v>
      </c>
      <c r="I10" s="54">
        <v>2</v>
      </c>
    </row>
    <row r="11" spans="1:9" ht="16.8" x14ac:dyDescent="0.3">
      <c r="A11" s="54" t="s">
        <v>162</v>
      </c>
      <c r="B11" s="54">
        <v>12</v>
      </c>
      <c r="C11" s="54">
        <v>10</v>
      </c>
      <c r="D11" s="54">
        <v>0</v>
      </c>
      <c r="E11" s="54">
        <v>2</v>
      </c>
      <c r="F11" s="54">
        <v>4</v>
      </c>
      <c r="G11" s="54">
        <v>2</v>
      </c>
      <c r="H11" s="54">
        <v>0</v>
      </c>
      <c r="I11" s="54">
        <v>2</v>
      </c>
    </row>
    <row r="12" spans="1:9" ht="16.8" x14ac:dyDescent="0.3">
      <c r="A12" s="54" t="s">
        <v>163</v>
      </c>
      <c r="B12" s="54">
        <v>22</v>
      </c>
      <c r="C12" s="54">
        <v>20</v>
      </c>
      <c r="D12" s="54">
        <v>0</v>
      </c>
      <c r="E12" s="54">
        <v>2</v>
      </c>
      <c r="F12" s="54">
        <v>2</v>
      </c>
      <c r="G12" s="54">
        <v>11</v>
      </c>
      <c r="H12" s="54">
        <v>0</v>
      </c>
      <c r="I12" s="54">
        <v>5</v>
      </c>
    </row>
    <row r="13" spans="1:9" ht="16.8" x14ac:dyDescent="0.3">
      <c r="A13" s="54" t="s">
        <v>164</v>
      </c>
      <c r="B13" s="54">
        <v>18</v>
      </c>
      <c r="C13" s="54">
        <v>23</v>
      </c>
      <c r="D13" s="54">
        <v>4</v>
      </c>
      <c r="E13" s="54">
        <v>4</v>
      </c>
      <c r="F13" s="54">
        <v>2</v>
      </c>
      <c r="G13" s="54">
        <v>1</v>
      </c>
      <c r="H13" s="54">
        <v>0</v>
      </c>
      <c r="I13" s="54">
        <v>12</v>
      </c>
    </row>
    <row r="14" spans="1:9" ht="16.8" x14ac:dyDescent="0.3">
      <c r="A14" s="54" t="s">
        <v>165</v>
      </c>
      <c r="B14" s="54">
        <v>9</v>
      </c>
      <c r="C14" s="54">
        <v>9</v>
      </c>
      <c r="D14" s="54">
        <v>1</v>
      </c>
      <c r="E14" s="54">
        <v>1</v>
      </c>
      <c r="F14" s="54">
        <v>1</v>
      </c>
      <c r="G14" s="54">
        <v>5</v>
      </c>
      <c r="H14" s="54">
        <v>0</v>
      </c>
      <c r="I14" s="54">
        <v>1</v>
      </c>
    </row>
    <row r="15" spans="1:9" ht="16.8" x14ac:dyDescent="0.3">
      <c r="A15" s="54" t="s">
        <v>166</v>
      </c>
      <c r="B15" s="54">
        <v>11</v>
      </c>
      <c r="C15" s="54">
        <v>7</v>
      </c>
      <c r="D15" s="54">
        <v>0</v>
      </c>
      <c r="E15" s="54">
        <v>2</v>
      </c>
      <c r="F15" s="54">
        <v>2</v>
      </c>
      <c r="G15" s="54">
        <v>2</v>
      </c>
      <c r="H15" s="54">
        <v>0</v>
      </c>
      <c r="I15" s="54">
        <v>1</v>
      </c>
    </row>
    <row r="16" spans="1:9" ht="16.8" x14ac:dyDescent="0.3">
      <c r="A16" s="54" t="s">
        <v>167</v>
      </c>
      <c r="B16" s="54">
        <v>3</v>
      </c>
      <c r="C16" s="54">
        <v>6</v>
      </c>
      <c r="D16" s="54">
        <v>0</v>
      </c>
      <c r="E16" s="54">
        <v>1</v>
      </c>
      <c r="F16" s="54">
        <v>3</v>
      </c>
      <c r="G16" s="54">
        <v>0</v>
      </c>
      <c r="H16" s="54">
        <v>0</v>
      </c>
      <c r="I16" s="54">
        <v>2</v>
      </c>
    </row>
    <row r="17" spans="1:9" ht="16.8" x14ac:dyDescent="0.3">
      <c r="A17" s="54" t="s">
        <v>168</v>
      </c>
      <c r="B17" s="54">
        <v>7</v>
      </c>
      <c r="C17" s="54">
        <v>4</v>
      </c>
      <c r="D17" s="54">
        <v>0</v>
      </c>
      <c r="E17" s="54">
        <v>0</v>
      </c>
      <c r="F17" s="54">
        <v>1</v>
      </c>
      <c r="G17" s="54">
        <v>1</v>
      </c>
      <c r="H17" s="54">
        <v>0</v>
      </c>
      <c r="I17" s="54">
        <v>2</v>
      </c>
    </row>
    <row r="18" spans="1:9" ht="16.8" x14ac:dyDescent="0.3">
      <c r="A18" s="54" t="s">
        <v>169</v>
      </c>
      <c r="B18" s="54">
        <v>8</v>
      </c>
      <c r="C18" s="54">
        <v>5</v>
      </c>
      <c r="D18" s="54">
        <v>1</v>
      </c>
      <c r="E18" s="54">
        <v>0</v>
      </c>
      <c r="F18" s="54">
        <v>2</v>
      </c>
      <c r="G18" s="54">
        <v>1</v>
      </c>
      <c r="H18" s="54">
        <v>0</v>
      </c>
      <c r="I18" s="54">
        <v>1</v>
      </c>
    </row>
    <row r="19" spans="1:9" ht="16.8" x14ac:dyDescent="0.3">
      <c r="A19" s="54" t="s">
        <v>170</v>
      </c>
      <c r="B19" s="54">
        <v>21</v>
      </c>
      <c r="C19" s="54">
        <v>15</v>
      </c>
      <c r="D19" s="54">
        <v>0</v>
      </c>
      <c r="E19" s="54">
        <v>1</v>
      </c>
      <c r="F19" s="54">
        <v>2</v>
      </c>
      <c r="G19" s="54">
        <v>7</v>
      </c>
      <c r="H19" s="54">
        <v>0</v>
      </c>
      <c r="I19" s="54">
        <v>5</v>
      </c>
    </row>
    <row r="20" spans="1:9" ht="16.8" x14ac:dyDescent="0.3">
      <c r="A20" s="54" t="s">
        <v>171</v>
      </c>
      <c r="B20" s="54">
        <v>6</v>
      </c>
      <c r="C20" s="54">
        <v>6</v>
      </c>
      <c r="D20" s="54">
        <v>0</v>
      </c>
      <c r="E20" s="54">
        <v>3</v>
      </c>
      <c r="F20" s="54">
        <v>3</v>
      </c>
      <c r="G20" s="54">
        <v>0</v>
      </c>
      <c r="H20" s="54">
        <v>0</v>
      </c>
      <c r="I20" s="54">
        <v>0</v>
      </c>
    </row>
    <row r="21" spans="1:9" ht="16.8" x14ac:dyDescent="0.3">
      <c r="A21" s="54" t="s">
        <v>172</v>
      </c>
      <c r="B21" s="54">
        <v>6</v>
      </c>
      <c r="C21" s="54">
        <v>8</v>
      </c>
      <c r="D21" s="54">
        <v>0</v>
      </c>
      <c r="E21" s="54">
        <v>2</v>
      </c>
      <c r="F21" s="54">
        <v>1</v>
      </c>
      <c r="G21" s="54">
        <v>2</v>
      </c>
      <c r="H21" s="54">
        <v>0</v>
      </c>
      <c r="I21" s="54">
        <v>3</v>
      </c>
    </row>
    <row r="22" spans="1:9" ht="16.8" x14ac:dyDescent="0.3">
      <c r="A22" s="54" t="s">
        <v>173</v>
      </c>
      <c r="B22" s="54">
        <v>13</v>
      </c>
      <c r="C22" s="54">
        <v>13</v>
      </c>
      <c r="D22" s="54">
        <v>0</v>
      </c>
      <c r="E22" s="54">
        <v>2</v>
      </c>
      <c r="F22" s="54">
        <v>2</v>
      </c>
      <c r="G22" s="54">
        <v>6</v>
      </c>
      <c r="H22" s="54">
        <v>0</v>
      </c>
      <c r="I22" s="54">
        <v>3</v>
      </c>
    </row>
    <row r="23" spans="1:9" ht="16.8" x14ac:dyDescent="0.3">
      <c r="A23" s="54" t="s">
        <v>174</v>
      </c>
      <c r="B23" s="54">
        <v>11</v>
      </c>
      <c r="C23" s="54">
        <v>9</v>
      </c>
      <c r="D23" s="54">
        <v>1</v>
      </c>
      <c r="E23" s="54">
        <v>0</v>
      </c>
      <c r="F23" s="54">
        <v>1</v>
      </c>
      <c r="G23" s="54">
        <v>5</v>
      </c>
      <c r="H23" s="54">
        <v>0</v>
      </c>
      <c r="I23" s="54">
        <v>2</v>
      </c>
    </row>
    <row r="24" spans="1:9" ht="16.8" x14ac:dyDescent="0.3">
      <c r="A24" s="54" t="s">
        <v>175</v>
      </c>
      <c r="B24" s="54">
        <v>8</v>
      </c>
      <c r="C24" s="54">
        <v>3</v>
      </c>
      <c r="D24" s="54">
        <v>0</v>
      </c>
      <c r="E24" s="54">
        <v>0</v>
      </c>
      <c r="F24" s="54">
        <v>1</v>
      </c>
      <c r="G24" s="54">
        <v>1</v>
      </c>
      <c r="H24" s="54">
        <v>0</v>
      </c>
      <c r="I24" s="54">
        <v>1</v>
      </c>
    </row>
    <row r="25" spans="1:9" ht="18" x14ac:dyDescent="0.35">
      <c r="A25" s="4" t="s">
        <v>152</v>
      </c>
      <c r="B25" s="1">
        <f>AVERAGE(B2:B24)</f>
        <v>10.086956521739131</v>
      </c>
      <c r="C25" s="1">
        <f t="shared" ref="C25:I25" si="0">AVERAGE(C2:C24)</f>
        <v>9.3913043478260878</v>
      </c>
      <c r="D25" s="1">
        <f t="shared" si="0"/>
        <v>0.47826086956521741</v>
      </c>
      <c r="E25" s="1">
        <f t="shared" si="0"/>
        <v>1.7826086956521738</v>
      </c>
      <c r="F25" s="1">
        <f t="shared" si="0"/>
        <v>2.3913043478260869</v>
      </c>
      <c r="G25" s="1">
        <f t="shared" si="0"/>
        <v>2.3913043478260869</v>
      </c>
      <c r="H25" s="1">
        <f t="shared" si="0"/>
        <v>0</v>
      </c>
      <c r="I25" s="1">
        <f t="shared" si="0"/>
        <v>2.347826086956522</v>
      </c>
    </row>
    <row r="26" spans="1:9" ht="18" x14ac:dyDescent="0.35">
      <c r="A26" s="7" t="s">
        <v>49</v>
      </c>
      <c r="B26" s="8">
        <f>SUM(B2:B24)</f>
        <v>232</v>
      </c>
      <c r="C26" s="8">
        <f t="shared" ref="C26:I26" si="1">SUM(C2:C24)</f>
        <v>216</v>
      </c>
      <c r="D26" s="8">
        <f t="shared" si="1"/>
        <v>11</v>
      </c>
      <c r="E26" s="8">
        <f t="shared" si="1"/>
        <v>41</v>
      </c>
      <c r="F26" s="8">
        <f t="shared" si="1"/>
        <v>55</v>
      </c>
      <c r="G26" s="8">
        <f t="shared" si="1"/>
        <v>55</v>
      </c>
      <c r="H26" s="8">
        <f t="shared" si="1"/>
        <v>0</v>
      </c>
      <c r="I26" s="8">
        <f t="shared" si="1"/>
        <v>54</v>
      </c>
    </row>
    <row r="27" spans="1:9" ht="18" x14ac:dyDescent="0.35">
      <c r="A27" s="10" t="s">
        <v>50</v>
      </c>
      <c r="B27" s="16"/>
      <c r="C27" s="16"/>
      <c r="D27" s="9">
        <f>(D26*100)/C26</f>
        <v>5.0925925925925926</v>
      </c>
      <c r="E27" s="9">
        <f>(E26*100)/C26</f>
        <v>18.981481481481481</v>
      </c>
      <c r="F27" s="9">
        <f>(F26*100)/C26</f>
        <v>25.462962962962962</v>
      </c>
      <c r="G27" s="9">
        <f>(G26*100)/C26</f>
        <v>25.462962962962962</v>
      </c>
      <c r="H27" s="9">
        <f>(H26*100)/C26</f>
        <v>0</v>
      </c>
      <c r="I27" s="9">
        <f>(I26*100)/C26</f>
        <v>25</v>
      </c>
    </row>
  </sheetData>
  <autoFilter ref="A1:I24" xr:uid="{C7B534D6-1BCE-4980-B888-CB6EE0DD508B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1331-BCDA-459A-8998-1BCFDA5BFF8B}">
  <dimension ref="A1:J24"/>
  <sheetViews>
    <sheetView workbookViewId="0">
      <selection activeCell="D23" sqref="D23"/>
    </sheetView>
  </sheetViews>
  <sheetFormatPr defaultColWidth="9.109375" defaultRowHeight="14.4" x14ac:dyDescent="0.3"/>
  <cols>
    <col min="1" max="1" width="43.44140625" style="57" customWidth="1"/>
    <col min="2" max="2" width="18.6640625" style="57" customWidth="1"/>
    <col min="3" max="3" width="17.5546875" style="57" customWidth="1"/>
    <col min="4" max="4" width="14.44140625" style="57" customWidth="1"/>
    <col min="5" max="5" width="15.88671875" style="57" customWidth="1"/>
    <col min="6" max="6" width="17" style="57" customWidth="1"/>
    <col min="7" max="7" width="16.6640625" style="57" customWidth="1"/>
    <col min="8" max="8" width="19.88671875" style="57" customWidth="1"/>
    <col min="9" max="9" width="18" style="57" customWidth="1"/>
    <col min="10" max="10" width="19.44140625" style="57" customWidth="1"/>
    <col min="11" max="16384" width="9.109375" style="57"/>
  </cols>
  <sheetData>
    <row r="1" spans="1:10" x14ac:dyDescent="0.3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130</v>
      </c>
      <c r="G1" s="59" t="s">
        <v>6</v>
      </c>
      <c r="H1" s="59" t="s">
        <v>7</v>
      </c>
      <c r="I1" s="59" t="s">
        <v>8</v>
      </c>
      <c r="J1" s="59" t="s">
        <v>176</v>
      </c>
    </row>
    <row r="2" spans="1:10" ht="16.8" x14ac:dyDescent="0.3">
      <c r="A2" s="58" t="s">
        <v>177</v>
      </c>
      <c r="B2" s="60">
        <v>4</v>
      </c>
      <c r="C2" s="60">
        <v>5</v>
      </c>
      <c r="D2" s="60">
        <v>0</v>
      </c>
      <c r="E2" s="60">
        <v>0</v>
      </c>
      <c r="F2" s="60">
        <v>1</v>
      </c>
      <c r="G2" s="60">
        <v>2</v>
      </c>
      <c r="H2" s="60">
        <v>0</v>
      </c>
      <c r="I2" s="60">
        <v>2</v>
      </c>
      <c r="J2" s="60">
        <v>0</v>
      </c>
    </row>
    <row r="3" spans="1:10" ht="16.8" x14ac:dyDescent="0.3">
      <c r="A3" s="58" t="s">
        <v>178</v>
      </c>
      <c r="B3" s="60">
        <v>25</v>
      </c>
      <c r="C3" s="60">
        <v>17</v>
      </c>
      <c r="D3" s="60">
        <v>0</v>
      </c>
      <c r="E3" s="60">
        <v>0</v>
      </c>
      <c r="F3" s="60">
        <v>2</v>
      </c>
      <c r="G3" s="60">
        <v>11</v>
      </c>
      <c r="H3" s="60">
        <v>0</v>
      </c>
      <c r="I3" s="60">
        <v>4</v>
      </c>
      <c r="J3" s="60">
        <v>0</v>
      </c>
    </row>
    <row r="4" spans="1:10" ht="16.8" x14ac:dyDescent="0.3">
      <c r="A4" s="58" t="s">
        <v>179</v>
      </c>
      <c r="B4" s="60">
        <v>9</v>
      </c>
      <c r="C4" s="60">
        <v>22</v>
      </c>
      <c r="D4" s="60">
        <v>8</v>
      </c>
      <c r="E4" s="60">
        <v>3</v>
      </c>
      <c r="F4" s="60">
        <v>2</v>
      </c>
      <c r="G4" s="60">
        <v>8</v>
      </c>
      <c r="H4" s="60">
        <v>0</v>
      </c>
      <c r="I4" s="60">
        <v>1</v>
      </c>
      <c r="J4" s="60">
        <v>0</v>
      </c>
    </row>
    <row r="5" spans="1:10" ht="16.8" x14ac:dyDescent="0.3">
      <c r="A5" s="58" t="s">
        <v>180</v>
      </c>
      <c r="B5" s="60">
        <v>10</v>
      </c>
      <c r="C5" s="60">
        <v>6</v>
      </c>
      <c r="D5" s="60">
        <v>0</v>
      </c>
      <c r="E5" s="60">
        <v>1</v>
      </c>
      <c r="F5" s="60">
        <v>3</v>
      </c>
      <c r="G5" s="60">
        <v>1</v>
      </c>
      <c r="H5" s="60">
        <v>0</v>
      </c>
      <c r="I5" s="60">
        <v>1</v>
      </c>
      <c r="J5" s="60">
        <v>0</v>
      </c>
    </row>
    <row r="6" spans="1:10" ht="16.8" x14ac:dyDescent="0.3">
      <c r="A6" s="58" t="s">
        <v>181</v>
      </c>
      <c r="B6" s="60">
        <v>7</v>
      </c>
      <c r="C6" s="60">
        <v>7</v>
      </c>
      <c r="D6" s="60">
        <v>0</v>
      </c>
      <c r="E6" s="60">
        <v>0</v>
      </c>
      <c r="F6" s="60">
        <v>4</v>
      </c>
      <c r="G6" s="60">
        <v>3</v>
      </c>
      <c r="H6" s="60">
        <v>0</v>
      </c>
      <c r="I6" s="60">
        <v>0</v>
      </c>
      <c r="J6" s="60">
        <v>0</v>
      </c>
    </row>
    <row r="7" spans="1:10" ht="16.8" x14ac:dyDescent="0.3">
      <c r="A7" s="58" t="s">
        <v>182</v>
      </c>
      <c r="B7" s="60">
        <v>5</v>
      </c>
      <c r="C7" s="60">
        <v>12</v>
      </c>
      <c r="D7" s="60">
        <v>0</v>
      </c>
      <c r="E7" s="60">
        <v>2</v>
      </c>
      <c r="F7" s="60">
        <v>3</v>
      </c>
      <c r="G7" s="60">
        <v>4</v>
      </c>
      <c r="H7" s="60">
        <v>0</v>
      </c>
      <c r="I7" s="60">
        <v>3</v>
      </c>
      <c r="J7" s="60">
        <v>0</v>
      </c>
    </row>
    <row r="8" spans="1:10" ht="16.8" x14ac:dyDescent="0.3">
      <c r="A8" s="58" t="s">
        <v>183</v>
      </c>
      <c r="B8" s="60">
        <v>4</v>
      </c>
      <c r="C8" s="60">
        <v>7</v>
      </c>
      <c r="D8" s="60">
        <v>0</v>
      </c>
      <c r="E8" s="60">
        <v>0</v>
      </c>
      <c r="F8" s="60">
        <v>0</v>
      </c>
      <c r="G8" s="60">
        <v>4</v>
      </c>
      <c r="H8" s="60">
        <v>0</v>
      </c>
      <c r="I8" s="60">
        <v>3</v>
      </c>
      <c r="J8" s="60">
        <v>0</v>
      </c>
    </row>
    <row r="9" spans="1:10" ht="16.8" x14ac:dyDescent="0.3">
      <c r="A9" s="58" t="s">
        <v>184</v>
      </c>
      <c r="B9" s="60">
        <v>7</v>
      </c>
      <c r="C9" s="60">
        <v>4</v>
      </c>
      <c r="D9" s="60">
        <v>0</v>
      </c>
      <c r="E9" s="60">
        <v>0</v>
      </c>
      <c r="F9" s="60">
        <v>0</v>
      </c>
      <c r="G9" s="60">
        <v>1</v>
      </c>
      <c r="H9" s="60">
        <v>0</v>
      </c>
      <c r="I9" s="60">
        <v>3</v>
      </c>
      <c r="J9" s="60">
        <v>0</v>
      </c>
    </row>
    <row r="10" spans="1:10" ht="16.8" x14ac:dyDescent="0.3">
      <c r="A10" s="58" t="s">
        <v>185</v>
      </c>
      <c r="B10" s="60">
        <v>9</v>
      </c>
      <c r="C10" s="60">
        <v>4</v>
      </c>
      <c r="D10" s="60">
        <v>0</v>
      </c>
      <c r="E10" s="60">
        <v>1</v>
      </c>
      <c r="F10" s="60">
        <v>1</v>
      </c>
      <c r="G10" s="60">
        <v>2</v>
      </c>
      <c r="H10" s="60">
        <v>0</v>
      </c>
      <c r="I10" s="60">
        <v>0</v>
      </c>
      <c r="J10" s="60">
        <v>0</v>
      </c>
    </row>
    <row r="11" spans="1:10" ht="16.8" x14ac:dyDescent="0.3">
      <c r="A11" s="58" t="s">
        <v>186</v>
      </c>
      <c r="B11" s="60">
        <v>9</v>
      </c>
      <c r="C11" s="60">
        <v>11</v>
      </c>
      <c r="D11" s="60">
        <v>4</v>
      </c>
      <c r="E11" s="60">
        <v>1</v>
      </c>
      <c r="F11" s="60">
        <v>0</v>
      </c>
      <c r="G11" s="60">
        <v>6</v>
      </c>
      <c r="H11" s="60">
        <v>0</v>
      </c>
      <c r="I11" s="60">
        <v>0</v>
      </c>
      <c r="J11" s="60">
        <v>0</v>
      </c>
    </row>
    <row r="12" spans="1:10" ht="16.8" x14ac:dyDescent="0.3">
      <c r="A12" s="58" t="s">
        <v>187</v>
      </c>
      <c r="B12" s="60">
        <v>9</v>
      </c>
      <c r="C12" s="60">
        <v>7</v>
      </c>
      <c r="D12" s="60">
        <v>0</v>
      </c>
      <c r="E12" s="60">
        <v>1</v>
      </c>
      <c r="F12" s="60">
        <v>2</v>
      </c>
      <c r="G12" s="60">
        <v>3</v>
      </c>
      <c r="H12" s="60">
        <v>0</v>
      </c>
      <c r="I12" s="60">
        <v>1</v>
      </c>
      <c r="J12" s="60">
        <v>0</v>
      </c>
    </row>
    <row r="13" spans="1:10" ht="16.8" x14ac:dyDescent="0.3">
      <c r="A13" s="58" t="s">
        <v>188</v>
      </c>
      <c r="B13" s="60">
        <v>11</v>
      </c>
      <c r="C13" s="60">
        <v>7</v>
      </c>
      <c r="D13" s="60">
        <v>0</v>
      </c>
      <c r="E13" s="60">
        <v>0</v>
      </c>
      <c r="F13" s="60">
        <v>4</v>
      </c>
      <c r="G13" s="60">
        <v>1</v>
      </c>
      <c r="H13" s="60">
        <v>0</v>
      </c>
      <c r="I13" s="60">
        <v>2</v>
      </c>
      <c r="J13" s="60">
        <v>0</v>
      </c>
    </row>
    <row r="14" spans="1:10" ht="16.8" x14ac:dyDescent="0.3">
      <c r="A14" s="58" t="s">
        <v>189</v>
      </c>
      <c r="B14" s="60">
        <v>12</v>
      </c>
      <c r="C14" s="60">
        <v>12</v>
      </c>
      <c r="D14" s="60">
        <v>1</v>
      </c>
      <c r="E14" s="60">
        <v>1</v>
      </c>
      <c r="F14" s="60">
        <v>1</v>
      </c>
      <c r="G14" s="60">
        <v>7</v>
      </c>
      <c r="H14" s="60">
        <v>0</v>
      </c>
      <c r="I14" s="60">
        <v>2</v>
      </c>
      <c r="J14" s="60">
        <v>0</v>
      </c>
    </row>
    <row r="15" spans="1:10" ht="16.8" x14ac:dyDescent="0.3">
      <c r="A15" s="58" t="s">
        <v>190</v>
      </c>
      <c r="B15" s="60">
        <v>5</v>
      </c>
      <c r="C15" s="60">
        <v>10</v>
      </c>
      <c r="D15" s="60">
        <v>2</v>
      </c>
      <c r="E15" s="60">
        <v>1</v>
      </c>
      <c r="F15" s="60">
        <v>2</v>
      </c>
      <c r="G15" s="60">
        <v>2</v>
      </c>
      <c r="H15" s="60">
        <v>0</v>
      </c>
      <c r="I15" s="60">
        <v>3</v>
      </c>
      <c r="J15" s="60">
        <v>0</v>
      </c>
    </row>
    <row r="16" spans="1:10" ht="16.8" x14ac:dyDescent="0.3">
      <c r="A16" s="58" t="s">
        <v>191</v>
      </c>
      <c r="B16" s="60">
        <v>8</v>
      </c>
      <c r="C16" s="60">
        <v>7</v>
      </c>
      <c r="D16" s="60">
        <v>0</v>
      </c>
      <c r="E16" s="60">
        <v>0</v>
      </c>
      <c r="F16" s="60">
        <v>3</v>
      </c>
      <c r="G16" s="60">
        <v>2</v>
      </c>
      <c r="H16" s="60">
        <v>0</v>
      </c>
      <c r="I16" s="60">
        <v>2</v>
      </c>
      <c r="J16" s="60">
        <v>0</v>
      </c>
    </row>
    <row r="17" spans="1:10" ht="16.8" x14ac:dyDescent="0.3">
      <c r="A17" s="58" t="s">
        <v>192</v>
      </c>
      <c r="B17" s="60">
        <v>26</v>
      </c>
      <c r="C17" s="60">
        <v>14</v>
      </c>
      <c r="D17" s="60">
        <v>0</v>
      </c>
      <c r="E17" s="60">
        <v>2</v>
      </c>
      <c r="F17" s="60">
        <v>10</v>
      </c>
      <c r="G17" s="60">
        <v>1</v>
      </c>
      <c r="H17" s="60">
        <v>0</v>
      </c>
      <c r="I17" s="60">
        <v>1</v>
      </c>
      <c r="J17" s="60">
        <v>0</v>
      </c>
    </row>
    <row r="18" spans="1:10" ht="16.8" x14ac:dyDescent="0.3">
      <c r="A18" s="58" t="s">
        <v>193</v>
      </c>
      <c r="B18" s="60">
        <v>5</v>
      </c>
      <c r="C18" s="60">
        <v>13</v>
      </c>
      <c r="D18" s="60">
        <v>0</v>
      </c>
      <c r="E18" s="60">
        <v>2</v>
      </c>
      <c r="F18" s="60">
        <v>2</v>
      </c>
      <c r="G18" s="60">
        <v>9</v>
      </c>
      <c r="H18" s="60">
        <v>0</v>
      </c>
      <c r="I18" s="60">
        <v>0</v>
      </c>
      <c r="J18" s="60">
        <v>0</v>
      </c>
    </row>
    <row r="19" spans="1:10" ht="16.8" x14ac:dyDescent="0.3">
      <c r="A19" s="58" t="s">
        <v>194</v>
      </c>
      <c r="B19" s="60">
        <v>10</v>
      </c>
      <c r="C19" s="60">
        <v>6</v>
      </c>
      <c r="D19" s="60">
        <v>0</v>
      </c>
      <c r="E19" s="60">
        <v>1</v>
      </c>
      <c r="F19" s="60">
        <v>0</v>
      </c>
      <c r="G19" s="60">
        <v>4</v>
      </c>
      <c r="H19" s="60">
        <v>0</v>
      </c>
      <c r="I19" s="60">
        <v>1</v>
      </c>
      <c r="J19" s="60">
        <v>0</v>
      </c>
    </row>
    <row r="20" spans="1:10" ht="16.8" x14ac:dyDescent="0.3">
      <c r="A20" s="58" t="s">
        <v>195</v>
      </c>
      <c r="B20" s="60">
        <v>4</v>
      </c>
      <c r="C20" s="60">
        <v>4</v>
      </c>
      <c r="D20" s="60">
        <v>0</v>
      </c>
      <c r="E20" s="60">
        <v>2</v>
      </c>
      <c r="F20" s="60">
        <v>2</v>
      </c>
      <c r="G20" s="60">
        <v>0</v>
      </c>
      <c r="H20" s="60">
        <v>0</v>
      </c>
      <c r="I20" s="60">
        <v>0</v>
      </c>
      <c r="J20" s="60">
        <v>0</v>
      </c>
    </row>
    <row r="21" spans="1:10" ht="16.8" x14ac:dyDescent="0.3">
      <c r="A21" s="58" t="s">
        <v>196</v>
      </c>
      <c r="B21" s="60">
        <v>6</v>
      </c>
      <c r="C21" s="60">
        <v>6</v>
      </c>
      <c r="D21" s="60">
        <v>0</v>
      </c>
      <c r="E21" s="60">
        <v>2</v>
      </c>
      <c r="F21" s="60">
        <v>3</v>
      </c>
      <c r="G21" s="60">
        <v>0</v>
      </c>
      <c r="H21" s="60">
        <v>0</v>
      </c>
      <c r="I21" s="60">
        <v>0</v>
      </c>
      <c r="J21" s="60">
        <v>1</v>
      </c>
    </row>
    <row r="22" spans="1:10" ht="18" x14ac:dyDescent="0.35">
      <c r="A22" s="4" t="s">
        <v>152</v>
      </c>
      <c r="B22" s="1">
        <f>AVERAGE(B2:B21)</f>
        <v>9.25</v>
      </c>
      <c r="C22" s="1">
        <f t="shared" ref="C22:J22" si="0">AVERAGE(C2:C21)</f>
        <v>9.0500000000000007</v>
      </c>
      <c r="D22" s="1">
        <f t="shared" si="0"/>
        <v>0.75</v>
      </c>
      <c r="E22" s="1">
        <f t="shared" si="0"/>
        <v>1</v>
      </c>
      <c r="F22" s="1">
        <f t="shared" si="0"/>
        <v>2.25</v>
      </c>
      <c r="G22" s="1">
        <f t="shared" si="0"/>
        <v>3.55</v>
      </c>
      <c r="H22" s="1">
        <f t="shared" si="0"/>
        <v>0</v>
      </c>
      <c r="I22" s="1">
        <f t="shared" si="0"/>
        <v>1.45</v>
      </c>
      <c r="J22" s="1">
        <f t="shared" si="0"/>
        <v>0.05</v>
      </c>
    </row>
    <row r="23" spans="1:10" ht="18" x14ac:dyDescent="0.35">
      <c r="A23" s="7" t="s">
        <v>49</v>
      </c>
      <c r="B23" s="8">
        <f>SUM(B2:B21)</f>
        <v>185</v>
      </c>
      <c r="C23" s="8">
        <f t="shared" ref="C23:J23" si="1">SUM(C2:C21)</f>
        <v>181</v>
      </c>
      <c r="D23" s="8">
        <f t="shared" si="1"/>
        <v>15</v>
      </c>
      <c r="E23" s="8">
        <f t="shared" si="1"/>
        <v>20</v>
      </c>
      <c r="F23" s="8">
        <f t="shared" si="1"/>
        <v>45</v>
      </c>
      <c r="G23" s="8">
        <f t="shared" si="1"/>
        <v>71</v>
      </c>
      <c r="H23" s="8">
        <f t="shared" si="1"/>
        <v>0</v>
      </c>
      <c r="I23" s="8">
        <f t="shared" si="1"/>
        <v>29</v>
      </c>
      <c r="J23" s="8">
        <f t="shared" si="1"/>
        <v>1</v>
      </c>
    </row>
    <row r="24" spans="1:10" ht="18" x14ac:dyDescent="0.35">
      <c r="A24" s="10" t="s">
        <v>50</v>
      </c>
      <c r="B24" s="61"/>
      <c r="C24" s="61"/>
      <c r="D24" s="9">
        <f>(D23*100)/C23</f>
        <v>8.2872928176795586</v>
      </c>
      <c r="E24" s="9">
        <f>(E23*100)/C23</f>
        <v>11.049723756906078</v>
      </c>
      <c r="F24" s="9">
        <f>(F23*100)/C23</f>
        <v>24.861878453038674</v>
      </c>
      <c r="G24" s="9">
        <f>(G23*100)/C23</f>
        <v>39.226519337016576</v>
      </c>
      <c r="H24" s="9">
        <f>(H23*100)/C23</f>
        <v>0</v>
      </c>
      <c r="I24" s="9">
        <f>(I23*100)/C23</f>
        <v>16.022099447513813</v>
      </c>
      <c r="J24" s="9">
        <f>(J23*100)/C23</f>
        <v>0.5524861878453039</v>
      </c>
    </row>
  </sheetData>
  <autoFilter ref="A1:J24" xr:uid="{FED31331-BCDA-459A-8998-1BCFDA5BFF8B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5534-7BCD-43EB-855F-27FBEEB88DE7}">
  <dimension ref="A1:J26"/>
  <sheetViews>
    <sheetView workbookViewId="0">
      <selection activeCell="A24" sqref="A24:J26"/>
    </sheetView>
  </sheetViews>
  <sheetFormatPr defaultColWidth="9.109375" defaultRowHeight="14.4" x14ac:dyDescent="0.3"/>
  <cols>
    <col min="1" max="1" width="40.109375" style="57" customWidth="1"/>
    <col min="2" max="2" width="20.33203125" style="57" customWidth="1"/>
    <col min="3" max="3" width="20.6640625" style="57" customWidth="1"/>
    <col min="4" max="4" width="20.44140625" style="57" customWidth="1"/>
    <col min="5" max="5" width="22.109375" style="57" customWidth="1"/>
    <col min="6" max="6" width="21.33203125" style="57" customWidth="1"/>
    <col min="7" max="7" width="20.33203125" style="57" customWidth="1"/>
    <col min="8" max="8" width="20.109375" style="57" customWidth="1"/>
    <col min="9" max="9" width="19.33203125" style="57" customWidth="1"/>
    <col min="10" max="10" width="15.44140625" style="57" customWidth="1"/>
    <col min="11" max="16384" width="9.109375" style="57"/>
  </cols>
  <sheetData>
    <row r="1" spans="1:10" x14ac:dyDescent="0.3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130</v>
      </c>
      <c r="G1" s="78" t="s">
        <v>6</v>
      </c>
      <c r="H1" s="78" t="s">
        <v>7</v>
      </c>
      <c r="I1" s="78" t="s">
        <v>8</v>
      </c>
      <c r="J1" s="78" t="s">
        <v>176</v>
      </c>
    </row>
    <row r="2" spans="1:10" ht="16.8" x14ac:dyDescent="0.3">
      <c r="A2" s="60" t="s">
        <v>197</v>
      </c>
      <c r="B2" s="60">
        <v>7</v>
      </c>
      <c r="C2" s="60">
        <v>7</v>
      </c>
      <c r="D2" s="60">
        <v>0</v>
      </c>
      <c r="E2" s="60">
        <v>0</v>
      </c>
      <c r="F2" s="60">
        <v>4</v>
      </c>
      <c r="G2" s="60">
        <v>0</v>
      </c>
      <c r="H2" s="60">
        <v>0</v>
      </c>
      <c r="I2" s="60">
        <v>0</v>
      </c>
      <c r="J2" s="60">
        <v>3</v>
      </c>
    </row>
    <row r="3" spans="1:10" ht="16.8" x14ac:dyDescent="0.3">
      <c r="A3" s="60" t="s">
        <v>198</v>
      </c>
      <c r="B3" s="60">
        <v>3</v>
      </c>
      <c r="C3" s="60">
        <v>3</v>
      </c>
      <c r="D3" s="60">
        <v>0</v>
      </c>
      <c r="E3" s="60">
        <v>0</v>
      </c>
      <c r="F3" s="60">
        <v>1</v>
      </c>
      <c r="G3" s="60">
        <v>0</v>
      </c>
      <c r="H3" s="60">
        <v>0</v>
      </c>
      <c r="I3" s="60">
        <v>0</v>
      </c>
      <c r="J3" s="60">
        <v>2</v>
      </c>
    </row>
    <row r="4" spans="1:10" ht="16.8" x14ac:dyDescent="0.3">
      <c r="A4" s="60" t="s">
        <v>199</v>
      </c>
      <c r="B4" s="60">
        <v>2</v>
      </c>
      <c r="C4" s="60">
        <v>4</v>
      </c>
      <c r="D4" s="60">
        <v>0</v>
      </c>
      <c r="E4" s="60">
        <v>0</v>
      </c>
      <c r="F4" s="60">
        <v>0</v>
      </c>
      <c r="G4" s="60">
        <v>0</v>
      </c>
      <c r="H4" s="60">
        <v>0</v>
      </c>
      <c r="I4" s="60">
        <v>2</v>
      </c>
      <c r="J4" s="60">
        <v>2</v>
      </c>
    </row>
    <row r="5" spans="1:10" ht="16.8" x14ac:dyDescent="0.3">
      <c r="A5" s="60" t="s">
        <v>200</v>
      </c>
      <c r="B5" s="60">
        <v>9</v>
      </c>
      <c r="C5" s="60">
        <v>4</v>
      </c>
      <c r="D5" s="60">
        <v>0</v>
      </c>
      <c r="E5" s="60">
        <v>1</v>
      </c>
      <c r="F5" s="60">
        <v>0</v>
      </c>
      <c r="G5" s="60">
        <v>0</v>
      </c>
      <c r="H5" s="60">
        <v>0</v>
      </c>
      <c r="I5" s="60">
        <v>0</v>
      </c>
      <c r="J5" s="60">
        <v>3</v>
      </c>
    </row>
    <row r="6" spans="1:10" ht="16.8" x14ac:dyDescent="0.3">
      <c r="A6" s="60" t="s">
        <v>201</v>
      </c>
      <c r="B6" s="60">
        <v>9</v>
      </c>
      <c r="C6" s="60">
        <v>13</v>
      </c>
      <c r="D6" s="60">
        <v>0</v>
      </c>
      <c r="E6" s="60">
        <v>2</v>
      </c>
      <c r="F6" s="60">
        <v>4</v>
      </c>
      <c r="G6" s="60">
        <v>0</v>
      </c>
      <c r="H6" s="60">
        <v>0</v>
      </c>
      <c r="I6" s="60">
        <v>3</v>
      </c>
      <c r="J6" s="60">
        <v>4</v>
      </c>
    </row>
    <row r="7" spans="1:10" ht="16.8" x14ac:dyDescent="0.3">
      <c r="A7" s="60" t="s">
        <v>202</v>
      </c>
      <c r="B7" s="60">
        <v>12</v>
      </c>
      <c r="C7" s="60">
        <v>13</v>
      </c>
      <c r="D7" s="60">
        <v>0</v>
      </c>
      <c r="E7" s="60">
        <v>2</v>
      </c>
      <c r="F7" s="60">
        <v>0</v>
      </c>
      <c r="G7" s="60">
        <v>0</v>
      </c>
      <c r="H7" s="60">
        <v>0</v>
      </c>
      <c r="I7" s="60">
        <v>10</v>
      </c>
      <c r="J7" s="60">
        <v>1</v>
      </c>
    </row>
    <row r="8" spans="1:10" ht="16.8" x14ac:dyDescent="0.3">
      <c r="A8" s="60" t="s">
        <v>203</v>
      </c>
      <c r="B8" s="60">
        <v>6</v>
      </c>
      <c r="C8" s="60">
        <v>4</v>
      </c>
      <c r="D8" s="60">
        <v>0</v>
      </c>
      <c r="E8" s="60">
        <v>0</v>
      </c>
      <c r="F8" s="60">
        <v>3</v>
      </c>
      <c r="G8" s="60">
        <v>0</v>
      </c>
      <c r="H8" s="60">
        <v>0</v>
      </c>
      <c r="I8" s="60">
        <v>0</v>
      </c>
      <c r="J8" s="60">
        <v>1</v>
      </c>
    </row>
    <row r="9" spans="1:10" ht="16.8" x14ac:dyDescent="0.3">
      <c r="A9" s="60" t="s">
        <v>204</v>
      </c>
      <c r="B9" s="60">
        <v>6</v>
      </c>
      <c r="C9" s="60">
        <v>7</v>
      </c>
      <c r="D9" s="60">
        <v>0</v>
      </c>
      <c r="E9" s="60">
        <v>2</v>
      </c>
      <c r="F9" s="60">
        <v>2</v>
      </c>
      <c r="G9" s="60">
        <v>0</v>
      </c>
      <c r="H9" s="60">
        <v>0</v>
      </c>
      <c r="I9" s="60">
        <v>0</v>
      </c>
      <c r="J9" s="60">
        <v>3</v>
      </c>
    </row>
    <row r="10" spans="1:10" ht="16.8" x14ac:dyDescent="0.3">
      <c r="A10" s="60" t="s">
        <v>205</v>
      </c>
      <c r="B10" s="60">
        <v>0</v>
      </c>
      <c r="C10" s="60">
        <v>0</v>
      </c>
      <c r="D10" s="60">
        <v>0</v>
      </c>
      <c r="E10" s="60">
        <v>0</v>
      </c>
      <c r="F10" s="60">
        <v>0</v>
      </c>
      <c r="G10" s="60">
        <v>0</v>
      </c>
      <c r="H10" s="60">
        <v>0</v>
      </c>
      <c r="I10" s="60">
        <v>0</v>
      </c>
      <c r="J10" s="60">
        <v>0</v>
      </c>
    </row>
    <row r="11" spans="1:10" ht="16.8" x14ac:dyDescent="0.3">
      <c r="A11" s="60" t="s">
        <v>206</v>
      </c>
      <c r="B11" s="60">
        <v>2</v>
      </c>
      <c r="C11" s="60">
        <v>1</v>
      </c>
      <c r="D11" s="60">
        <v>0</v>
      </c>
      <c r="E11" s="60">
        <v>0</v>
      </c>
      <c r="F11" s="60">
        <v>0</v>
      </c>
      <c r="G11" s="60">
        <v>0</v>
      </c>
      <c r="H11" s="60">
        <v>0</v>
      </c>
      <c r="I11" s="60">
        <v>0</v>
      </c>
      <c r="J11" s="60">
        <v>1</v>
      </c>
    </row>
    <row r="12" spans="1:10" ht="16.8" x14ac:dyDescent="0.3">
      <c r="A12" s="60" t="s">
        <v>207</v>
      </c>
      <c r="B12" s="60">
        <v>5</v>
      </c>
      <c r="C12" s="60">
        <v>12</v>
      </c>
      <c r="D12" s="60">
        <v>0</v>
      </c>
      <c r="E12" s="60">
        <v>0</v>
      </c>
      <c r="F12" s="60">
        <v>8</v>
      </c>
      <c r="G12" s="60">
        <v>3</v>
      </c>
      <c r="H12" s="60">
        <v>0</v>
      </c>
      <c r="I12" s="60">
        <v>1</v>
      </c>
      <c r="J12" s="60">
        <v>0</v>
      </c>
    </row>
    <row r="13" spans="1:10" ht="16.8" x14ac:dyDescent="0.3">
      <c r="A13" s="60" t="s">
        <v>208</v>
      </c>
      <c r="B13" s="60">
        <v>12</v>
      </c>
      <c r="C13" s="60">
        <v>13</v>
      </c>
      <c r="D13" s="60">
        <v>0</v>
      </c>
      <c r="E13" s="60">
        <v>1</v>
      </c>
      <c r="F13" s="60">
        <v>4</v>
      </c>
      <c r="G13" s="60">
        <v>2</v>
      </c>
      <c r="H13" s="60">
        <v>0</v>
      </c>
      <c r="I13" s="60">
        <v>2</v>
      </c>
      <c r="J13" s="60">
        <v>4</v>
      </c>
    </row>
    <row r="14" spans="1:10" ht="16.8" x14ac:dyDescent="0.3">
      <c r="A14" s="60" t="s">
        <v>209</v>
      </c>
      <c r="B14" s="60">
        <v>10</v>
      </c>
      <c r="C14" s="60">
        <v>11</v>
      </c>
      <c r="D14" s="60">
        <v>0</v>
      </c>
      <c r="E14" s="60">
        <v>0</v>
      </c>
      <c r="F14" s="60">
        <v>0</v>
      </c>
      <c r="G14" s="60">
        <v>1</v>
      </c>
      <c r="H14" s="60">
        <v>0</v>
      </c>
      <c r="I14" s="60">
        <v>9</v>
      </c>
      <c r="J14" s="60">
        <v>1</v>
      </c>
    </row>
    <row r="15" spans="1:10" ht="16.8" x14ac:dyDescent="0.3">
      <c r="A15" s="60" t="s">
        <v>210</v>
      </c>
      <c r="B15" s="60">
        <v>3</v>
      </c>
      <c r="C15" s="60">
        <v>3</v>
      </c>
      <c r="D15" s="60">
        <v>0</v>
      </c>
      <c r="E15" s="60">
        <v>0</v>
      </c>
      <c r="F15" s="60">
        <v>2</v>
      </c>
      <c r="G15" s="60">
        <v>1</v>
      </c>
      <c r="H15" s="60">
        <v>0</v>
      </c>
      <c r="I15" s="60">
        <v>0</v>
      </c>
      <c r="J15" s="60">
        <v>0</v>
      </c>
    </row>
    <row r="16" spans="1:10" ht="16.8" x14ac:dyDescent="0.3">
      <c r="A16" s="60" t="s">
        <v>211</v>
      </c>
      <c r="B16" s="60">
        <v>13</v>
      </c>
      <c r="C16" s="60">
        <v>8</v>
      </c>
      <c r="D16" s="60">
        <v>0</v>
      </c>
      <c r="E16" s="60">
        <v>0</v>
      </c>
      <c r="F16" s="60">
        <v>4</v>
      </c>
      <c r="G16" s="60">
        <v>3</v>
      </c>
      <c r="H16" s="60">
        <v>0</v>
      </c>
      <c r="I16" s="60">
        <v>0</v>
      </c>
      <c r="J16" s="60">
        <v>1</v>
      </c>
    </row>
    <row r="17" spans="1:10" ht="16.8" x14ac:dyDescent="0.3">
      <c r="A17" s="60" t="s">
        <v>212</v>
      </c>
      <c r="B17" s="60">
        <v>6</v>
      </c>
      <c r="C17" s="60">
        <v>5</v>
      </c>
      <c r="D17" s="60">
        <v>0</v>
      </c>
      <c r="E17" s="60">
        <v>0</v>
      </c>
      <c r="F17" s="60">
        <v>3</v>
      </c>
      <c r="G17" s="60">
        <v>1</v>
      </c>
      <c r="H17" s="60">
        <v>0</v>
      </c>
      <c r="I17" s="60">
        <v>0</v>
      </c>
      <c r="J17" s="60">
        <v>1</v>
      </c>
    </row>
    <row r="18" spans="1:10" ht="16.8" x14ac:dyDescent="0.3">
      <c r="A18" s="60" t="s">
        <v>213</v>
      </c>
      <c r="B18" s="60">
        <v>26</v>
      </c>
      <c r="C18" s="60">
        <v>22</v>
      </c>
      <c r="D18" s="60">
        <v>0</v>
      </c>
      <c r="E18" s="60">
        <v>1</v>
      </c>
      <c r="F18" s="60">
        <v>15</v>
      </c>
      <c r="G18" s="60">
        <v>2</v>
      </c>
      <c r="H18" s="60">
        <v>0</v>
      </c>
      <c r="I18" s="60">
        <v>0</v>
      </c>
      <c r="J18" s="60">
        <v>4</v>
      </c>
    </row>
    <row r="19" spans="1:10" ht="16.8" x14ac:dyDescent="0.3">
      <c r="A19" s="60" t="s">
        <v>214</v>
      </c>
      <c r="B19" s="60">
        <v>10</v>
      </c>
      <c r="C19" s="60">
        <v>10</v>
      </c>
      <c r="D19" s="60">
        <v>0</v>
      </c>
      <c r="E19" s="60">
        <v>1</v>
      </c>
      <c r="F19" s="60">
        <v>2</v>
      </c>
      <c r="G19" s="60">
        <v>1</v>
      </c>
      <c r="H19" s="60">
        <v>0</v>
      </c>
      <c r="I19" s="60">
        <v>4</v>
      </c>
      <c r="J19" s="60">
        <v>2</v>
      </c>
    </row>
    <row r="20" spans="1:10" ht="16.8" x14ac:dyDescent="0.3">
      <c r="A20" s="60" t="s">
        <v>215</v>
      </c>
      <c r="B20" s="60">
        <v>4</v>
      </c>
      <c r="C20" s="60">
        <v>4</v>
      </c>
      <c r="D20" s="60">
        <v>0</v>
      </c>
      <c r="E20" s="60">
        <v>1</v>
      </c>
      <c r="F20" s="60">
        <v>2</v>
      </c>
      <c r="G20" s="60">
        <v>0</v>
      </c>
      <c r="H20" s="60">
        <v>0</v>
      </c>
      <c r="I20" s="60">
        <v>0</v>
      </c>
      <c r="J20" s="60">
        <v>1</v>
      </c>
    </row>
    <row r="21" spans="1:10" ht="16.8" x14ac:dyDescent="0.3">
      <c r="A21" s="60" t="s">
        <v>216</v>
      </c>
      <c r="B21" s="60">
        <v>6</v>
      </c>
      <c r="C21" s="60">
        <v>12</v>
      </c>
      <c r="D21" s="60">
        <v>0</v>
      </c>
      <c r="E21" s="60">
        <v>5</v>
      </c>
      <c r="F21" s="60">
        <v>3</v>
      </c>
      <c r="G21" s="60">
        <v>0</v>
      </c>
      <c r="H21" s="60">
        <v>0</v>
      </c>
      <c r="I21" s="60">
        <v>0</v>
      </c>
      <c r="J21" s="60">
        <v>4</v>
      </c>
    </row>
    <row r="22" spans="1:10" ht="16.8" x14ac:dyDescent="0.3">
      <c r="A22" s="60" t="s">
        <v>217</v>
      </c>
      <c r="B22" s="60">
        <v>5</v>
      </c>
      <c r="C22" s="60">
        <v>5</v>
      </c>
      <c r="D22" s="60">
        <v>0</v>
      </c>
      <c r="E22" s="60">
        <v>2</v>
      </c>
      <c r="F22" s="60">
        <v>1</v>
      </c>
      <c r="G22" s="60">
        <v>1</v>
      </c>
      <c r="H22" s="60">
        <v>0</v>
      </c>
      <c r="I22" s="60">
        <v>0</v>
      </c>
      <c r="J22" s="60">
        <v>1</v>
      </c>
    </row>
    <row r="23" spans="1:10" ht="16.8" x14ac:dyDescent="0.3">
      <c r="A23" s="60" t="s">
        <v>218</v>
      </c>
      <c r="B23" s="60">
        <v>10</v>
      </c>
      <c r="C23" s="60">
        <v>8</v>
      </c>
      <c r="D23" s="60">
        <v>0</v>
      </c>
      <c r="E23" s="60">
        <v>1</v>
      </c>
      <c r="F23" s="60">
        <v>2</v>
      </c>
      <c r="G23" s="60">
        <v>0</v>
      </c>
      <c r="H23" s="60">
        <v>0</v>
      </c>
      <c r="I23" s="60">
        <v>1</v>
      </c>
      <c r="J23" s="60">
        <v>4</v>
      </c>
    </row>
    <row r="24" spans="1:10" ht="18" x14ac:dyDescent="0.35">
      <c r="A24" s="79" t="s">
        <v>152</v>
      </c>
      <c r="B24" s="80">
        <f>AVERAGE(B2:B23)</f>
        <v>7.5454545454545459</v>
      </c>
      <c r="C24" s="80">
        <f t="shared" ref="C24:J24" si="0">AVERAGE(C2:C23)</f>
        <v>7.6818181818181817</v>
      </c>
      <c r="D24" s="80">
        <f t="shared" si="0"/>
        <v>0</v>
      </c>
      <c r="E24" s="80">
        <f t="shared" si="0"/>
        <v>0.86363636363636365</v>
      </c>
      <c r="F24" s="80">
        <f t="shared" si="0"/>
        <v>2.7272727272727271</v>
      </c>
      <c r="G24" s="80">
        <f>AVERAGE(G12:G23)</f>
        <v>1.25</v>
      </c>
      <c r="H24" s="80">
        <f t="shared" si="0"/>
        <v>0</v>
      </c>
      <c r="I24" s="80">
        <f t="shared" si="0"/>
        <v>1.4545454545454546</v>
      </c>
      <c r="J24" s="80">
        <f t="shared" si="0"/>
        <v>1.9545454545454546</v>
      </c>
    </row>
    <row r="25" spans="1:10" ht="18" x14ac:dyDescent="0.35">
      <c r="A25" s="81" t="s">
        <v>49</v>
      </c>
      <c r="B25" s="82">
        <f>SUM(B2:B23)</f>
        <v>166</v>
      </c>
      <c r="C25" s="82">
        <f t="shared" ref="C25:J25" si="1">SUM(C2:C23)</f>
        <v>169</v>
      </c>
      <c r="D25" s="82">
        <f t="shared" si="1"/>
        <v>0</v>
      </c>
      <c r="E25" s="82">
        <f t="shared" si="1"/>
        <v>19</v>
      </c>
      <c r="F25" s="82">
        <f t="shared" si="1"/>
        <v>60</v>
      </c>
      <c r="G25" s="82">
        <f t="shared" si="1"/>
        <v>15</v>
      </c>
      <c r="H25" s="82">
        <f t="shared" si="1"/>
        <v>0</v>
      </c>
      <c r="I25" s="82">
        <f t="shared" si="1"/>
        <v>32</v>
      </c>
      <c r="J25" s="82">
        <f t="shared" si="1"/>
        <v>43</v>
      </c>
    </row>
    <row r="26" spans="1:10" ht="18" x14ac:dyDescent="0.35">
      <c r="A26" s="83" t="s">
        <v>50</v>
      </c>
      <c r="B26" s="84"/>
      <c r="C26" s="84"/>
      <c r="D26" s="85">
        <f>(D25*100)/C25</f>
        <v>0</v>
      </c>
      <c r="E26" s="85">
        <f>(E25*100)/C25</f>
        <v>11.242603550295858</v>
      </c>
      <c r="F26" s="85">
        <f>(F25*100)/C25</f>
        <v>35.502958579881657</v>
      </c>
      <c r="G26" s="85">
        <f>(G25*100)/C25</f>
        <v>8.8757396449704142</v>
      </c>
      <c r="H26" s="85">
        <f>(H25*100)/C25</f>
        <v>0</v>
      </c>
      <c r="I26" s="85">
        <f>(I25*100)/C25</f>
        <v>18.934911242603551</v>
      </c>
      <c r="J26" s="85">
        <f>(J25*100)/C25</f>
        <v>25.443786982248522</v>
      </c>
    </row>
  </sheetData>
  <autoFilter ref="A1:J23" xr:uid="{095C5534-7BCD-43EB-855F-27FBEEB88DE7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21AB-2056-4CB6-BD0F-9F6E89460886}">
  <dimension ref="A1:I23"/>
  <sheetViews>
    <sheetView workbookViewId="0"/>
  </sheetViews>
  <sheetFormatPr defaultColWidth="9.109375" defaultRowHeight="14.4" x14ac:dyDescent="0.3"/>
  <cols>
    <col min="1" max="1" width="41.6640625" style="51" customWidth="1"/>
    <col min="2" max="2" width="13.44140625" style="51" customWidth="1"/>
    <col min="3" max="3" width="15.5546875" style="51" customWidth="1"/>
    <col min="4" max="4" width="16.44140625" style="51" customWidth="1"/>
    <col min="5" max="5" width="16.6640625" style="51" customWidth="1"/>
    <col min="6" max="6" width="16" style="51" customWidth="1"/>
    <col min="7" max="7" width="20.109375" style="51" customWidth="1"/>
    <col min="8" max="8" width="18.109375" style="51" customWidth="1"/>
    <col min="9" max="9" width="19.33203125" style="51" customWidth="1"/>
    <col min="10" max="16384" width="9.109375" style="51"/>
  </cols>
  <sheetData>
    <row r="1" spans="1:9" x14ac:dyDescent="0.3">
      <c r="A1" s="90" t="s">
        <v>0</v>
      </c>
      <c r="B1" s="91" t="s">
        <v>1</v>
      </c>
      <c r="C1" s="91" t="s">
        <v>2</v>
      </c>
      <c r="D1" s="91" t="s">
        <v>4</v>
      </c>
      <c r="E1" s="91" t="s">
        <v>130</v>
      </c>
      <c r="F1" s="91" t="s">
        <v>6</v>
      </c>
      <c r="G1" s="91" t="s">
        <v>7</v>
      </c>
      <c r="H1" s="91" t="s">
        <v>8</v>
      </c>
      <c r="I1" s="91" t="s">
        <v>176</v>
      </c>
    </row>
    <row r="2" spans="1:9" ht="16.8" x14ac:dyDescent="0.3">
      <c r="A2" s="58" t="s">
        <v>219</v>
      </c>
      <c r="B2" s="60">
        <v>26</v>
      </c>
      <c r="C2" s="60">
        <v>3</v>
      </c>
      <c r="D2" s="60">
        <v>1</v>
      </c>
      <c r="E2" s="60">
        <v>1</v>
      </c>
      <c r="F2" s="60">
        <v>1</v>
      </c>
      <c r="G2" s="60">
        <v>0</v>
      </c>
      <c r="H2" s="60">
        <v>0</v>
      </c>
      <c r="I2" s="60">
        <v>0</v>
      </c>
    </row>
    <row r="3" spans="1:9" ht="16.8" x14ac:dyDescent="0.3">
      <c r="A3" s="58" t="s">
        <v>220</v>
      </c>
      <c r="B3" s="60">
        <v>8</v>
      </c>
      <c r="C3" s="60">
        <v>9</v>
      </c>
      <c r="D3" s="60">
        <v>2</v>
      </c>
      <c r="E3" s="60">
        <v>2</v>
      </c>
      <c r="F3" s="60">
        <v>1</v>
      </c>
      <c r="G3" s="60">
        <v>0</v>
      </c>
      <c r="H3" s="60">
        <v>0</v>
      </c>
      <c r="I3" s="60">
        <v>4</v>
      </c>
    </row>
    <row r="4" spans="1:9" ht="16.8" x14ac:dyDescent="0.3">
      <c r="A4" s="58" t="s">
        <v>221</v>
      </c>
      <c r="B4" s="60">
        <v>3</v>
      </c>
      <c r="C4" s="60">
        <v>10</v>
      </c>
      <c r="D4" s="60">
        <v>2</v>
      </c>
      <c r="E4" s="60">
        <v>4</v>
      </c>
      <c r="F4" s="60">
        <v>1</v>
      </c>
      <c r="G4" s="60">
        <v>0</v>
      </c>
      <c r="H4" s="60">
        <v>0</v>
      </c>
      <c r="I4" s="60">
        <v>3</v>
      </c>
    </row>
    <row r="5" spans="1:9" ht="16.8" x14ac:dyDescent="0.3">
      <c r="A5" s="58" t="s">
        <v>222</v>
      </c>
      <c r="B5" s="60">
        <v>12</v>
      </c>
      <c r="C5" s="60">
        <v>6</v>
      </c>
      <c r="D5" s="60">
        <v>0</v>
      </c>
      <c r="E5" s="60">
        <v>1</v>
      </c>
      <c r="F5" s="60">
        <v>0</v>
      </c>
      <c r="G5" s="60">
        <v>0</v>
      </c>
      <c r="H5" s="60">
        <v>2</v>
      </c>
      <c r="I5" s="60">
        <v>3</v>
      </c>
    </row>
    <row r="6" spans="1:9" ht="16.8" x14ac:dyDescent="0.3">
      <c r="A6" s="58" t="s">
        <v>223</v>
      </c>
      <c r="B6" s="60">
        <v>5</v>
      </c>
      <c r="C6" s="60">
        <v>3</v>
      </c>
      <c r="D6" s="60">
        <v>0</v>
      </c>
      <c r="E6" s="60">
        <v>1</v>
      </c>
      <c r="F6" s="60">
        <v>0</v>
      </c>
      <c r="G6" s="60">
        <v>0</v>
      </c>
      <c r="H6" s="60">
        <v>2</v>
      </c>
      <c r="I6" s="60">
        <v>0</v>
      </c>
    </row>
    <row r="7" spans="1:9" ht="16.8" x14ac:dyDescent="0.3">
      <c r="A7" s="58" t="s">
        <v>224</v>
      </c>
      <c r="B7" s="60">
        <v>10</v>
      </c>
      <c r="C7" s="60">
        <v>10</v>
      </c>
      <c r="D7" s="60">
        <v>0</v>
      </c>
      <c r="E7" s="60">
        <v>3</v>
      </c>
      <c r="F7" s="60">
        <v>2</v>
      </c>
      <c r="G7" s="60">
        <v>0</v>
      </c>
      <c r="H7" s="60">
        <v>1</v>
      </c>
      <c r="I7" s="60">
        <v>4</v>
      </c>
    </row>
    <row r="8" spans="1:9" ht="16.8" x14ac:dyDescent="0.3">
      <c r="A8" s="58" t="s">
        <v>225</v>
      </c>
      <c r="B8" s="60">
        <v>14</v>
      </c>
      <c r="C8" s="60">
        <v>14</v>
      </c>
      <c r="D8" s="60">
        <v>0</v>
      </c>
      <c r="E8" s="60">
        <v>8</v>
      </c>
      <c r="F8" s="60">
        <v>2</v>
      </c>
      <c r="G8" s="60">
        <v>0</v>
      </c>
      <c r="H8" s="60">
        <v>1</v>
      </c>
      <c r="I8" s="60">
        <v>3</v>
      </c>
    </row>
    <row r="9" spans="1:9" ht="16.8" x14ac:dyDescent="0.3">
      <c r="A9" s="58" t="s">
        <v>226</v>
      </c>
      <c r="B9" s="60">
        <v>7</v>
      </c>
      <c r="C9" s="60">
        <v>13</v>
      </c>
      <c r="D9" s="60">
        <v>2</v>
      </c>
      <c r="E9" s="60">
        <v>1</v>
      </c>
      <c r="F9" s="60">
        <v>9</v>
      </c>
      <c r="G9" s="60">
        <v>0</v>
      </c>
      <c r="H9" s="60">
        <v>1</v>
      </c>
      <c r="I9" s="60">
        <v>0</v>
      </c>
    </row>
    <row r="10" spans="1:9" ht="16.8" x14ac:dyDescent="0.3">
      <c r="A10" s="58" t="s">
        <v>227</v>
      </c>
      <c r="B10" s="60">
        <v>8</v>
      </c>
      <c r="C10" s="60">
        <v>7</v>
      </c>
      <c r="D10" s="60">
        <v>1</v>
      </c>
      <c r="E10" s="60">
        <v>2</v>
      </c>
      <c r="F10" s="60">
        <v>3</v>
      </c>
      <c r="G10" s="60">
        <v>0</v>
      </c>
      <c r="H10" s="60">
        <v>0</v>
      </c>
      <c r="I10" s="60">
        <v>1</v>
      </c>
    </row>
    <row r="11" spans="1:9" ht="16.8" x14ac:dyDescent="0.3">
      <c r="A11" s="58" t="s">
        <v>228</v>
      </c>
      <c r="B11" s="60">
        <v>11</v>
      </c>
      <c r="C11" s="60">
        <v>24</v>
      </c>
      <c r="D11" s="60">
        <v>1</v>
      </c>
      <c r="E11" s="60">
        <v>2</v>
      </c>
      <c r="F11" s="60">
        <v>11</v>
      </c>
      <c r="G11" s="60">
        <v>0</v>
      </c>
      <c r="H11" s="60">
        <v>7</v>
      </c>
      <c r="I11" s="60">
        <v>3</v>
      </c>
    </row>
    <row r="12" spans="1:9" ht="16.8" x14ac:dyDescent="0.3">
      <c r="A12" s="58" t="s">
        <v>229</v>
      </c>
      <c r="B12" s="60">
        <v>12</v>
      </c>
      <c r="C12" s="60">
        <v>8</v>
      </c>
      <c r="D12" s="60">
        <v>0</v>
      </c>
      <c r="E12" s="60">
        <v>0</v>
      </c>
      <c r="F12" s="60">
        <v>4</v>
      </c>
      <c r="G12" s="60">
        <v>0</v>
      </c>
      <c r="H12" s="60">
        <v>0</v>
      </c>
      <c r="I12" s="60">
        <v>4</v>
      </c>
    </row>
    <row r="13" spans="1:9" ht="16.8" x14ac:dyDescent="0.3">
      <c r="A13" s="58" t="s">
        <v>230</v>
      </c>
      <c r="B13" s="60">
        <v>10</v>
      </c>
      <c r="C13" s="60">
        <v>11</v>
      </c>
      <c r="D13" s="60">
        <v>3</v>
      </c>
      <c r="E13" s="60">
        <v>0</v>
      </c>
      <c r="F13" s="60">
        <v>4</v>
      </c>
      <c r="G13" s="60">
        <v>0</v>
      </c>
      <c r="H13" s="60">
        <v>1</v>
      </c>
      <c r="I13" s="60">
        <v>3</v>
      </c>
    </row>
    <row r="14" spans="1:9" ht="16.8" x14ac:dyDescent="0.3">
      <c r="A14" s="58" t="s">
        <v>231</v>
      </c>
      <c r="B14" s="60">
        <v>9</v>
      </c>
      <c r="C14" s="60">
        <v>6</v>
      </c>
      <c r="D14" s="60">
        <v>0</v>
      </c>
      <c r="E14" s="60">
        <v>2</v>
      </c>
      <c r="F14" s="60">
        <v>0</v>
      </c>
      <c r="G14" s="60">
        <v>0</v>
      </c>
      <c r="H14" s="60">
        <v>0</v>
      </c>
      <c r="I14" s="60">
        <v>4</v>
      </c>
    </row>
    <row r="15" spans="1:9" ht="16.8" x14ac:dyDescent="0.3">
      <c r="A15" s="58" t="s">
        <v>232</v>
      </c>
      <c r="B15" s="60">
        <v>7</v>
      </c>
      <c r="C15" s="60">
        <v>7</v>
      </c>
      <c r="D15" s="60">
        <v>3</v>
      </c>
      <c r="E15" s="60">
        <v>0</v>
      </c>
      <c r="F15" s="60">
        <v>2</v>
      </c>
      <c r="G15" s="60">
        <v>0</v>
      </c>
      <c r="H15" s="60">
        <v>0</v>
      </c>
      <c r="I15" s="60">
        <v>2</v>
      </c>
    </row>
    <row r="16" spans="1:9" ht="16.8" x14ac:dyDescent="0.3">
      <c r="A16" s="58" t="s">
        <v>233</v>
      </c>
      <c r="B16" s="60">
        <v>0</v>
      </c>
      <c r="C16" s="60">
        <v>3</v>
      </c>
      <c r="D16" s="60">
        <v>0</v>
      </c>
      <c r="E16" s="60">
        <v>2</v>
      </c>
      <c r="F16" s="60">
        <v>1</v>
      </c>
      <c r="G16" s="60">
        <v>0</v>
      </c>
      <c r="H16" s="60">
        <v>0</v>
      </c>
      <c r="I16" s="60">
        <v>0</v>
      </c>
    </row>
    <row r="17" spans="1:9" ht="16.8" x14ac:dyDescent="0.3">
      <c r="A17" s="58" t="s">
        <v>234</v>
      </c>
      <c r="B17" s="60">
        <v>9</v>
      </c>
      <c r="C17" s="60">
        <v>10</v>
      </c>
      <c r="D17" s="60">
        <v>2</v>
      </c>
      <c r="E17" s="60">
        <v>3</v>
      </c>
      <c r="F17" s="60">
        <v>4</v>
      </c>
      <c r="G17" s="60">
        <v>0</v>
      </c>
      <c r="H17" s="60">
        <v>1</v>
      </c>
      <c r="I17" s="60">
        <v>0</v>
      </c>
    </row>
    <row r="18" spans="1:9" ht="16.8" x14ac:dyDescent="0.3">
      <c r="A18" s="58" t="s">
        <v>235</v>
      </c>
      <c r="B18" s="60">
        <v>9</v>
      </c>
      <c r="C18" s="60">
        <v>7</v>
      </c>
      <c r="D18" s="60">
        <v>1</v>
      </c>
      <c r="E18" s="60">
        <v>3</v>
      </c>
      <c r="F18" s="60">
        <v>1</v>
      </c>
      <c r="G18" s="60">
        <v>0</v>
      </c>
      <c r="H18" s="60">
        <v>0</v>
      </c>
      <c r="I18" s="60">
        <v>2</v>
      </c>
    </row>
    <row r="19" spans="1:9" ht="16.8" x14ac:dyDescent="0.3">
      <c r="A19" s="58" t="s">
        <v>236</v>
      </c>
      <c r="B19" s="60">
        <v>4</v>
      </c>
      <c r="C19" s="60">
        <v>4</v>
      </c>
      <c r="D19" s="60">
        <v>0</v>
      </c>
      <c r="E19" s="60">
        <v>0</v>
      </c>
      <c r="F19" s="60">
        <v>0</v>
      </c>
      <c r="G19" s="60">
        <v>0</v>
      </c>
      <c r="H19" s="60">
        <v>4</v>
      </c>
      <c r="I19" s="60">
        <v>0</v>
      </c>
    </row>
    <row r="20" spans="1:9" ht="16.8" x14ac:dyDescent="0.3">
      <c r="A20" s="58" t="s">
        <v>237</v>
      </c>
      <c r="B20" s="60">
        <v>7</v>
      </c>
      <c r="C20" s="60">
        <v>5</v>
      </c>
      <c r="D20" s="60">
        <v>1</v>
      </c>
      <c r="E20" s="60">
        <v>1</v>
      </c>
      <c r="F20" s="60">
        <v>2</v>
      </c>
      <c r="G20" s="60">
        <v>0</v>
      </c>
      <c r="H20" s="60">
        <v>0</v>
      </c>
      <c r="I20" s="60">
        <v>1</v>
      </c>
    </row>
    <row r="21" spans="1:9" ht="18" x14ac:dyDescent="0.35">
      <c r="A21" s="79" t="s">
        <v>152</v>
      </c>
      <c r="B21" s="80">
        <f>AVERAGE(B2:B20)</f>
        <v>9</v>
      </c>
      <c r="C21" s="80">
        <f t="shared" ref="C21:I21" si="0">AVERAGE(C2:C20)</f>
        <v>8.4210526315789469</v>
      </c>
      <c r="D21" s="80">
        <f t="shared" si="0"/>
        <v>1</v>
      </c>
      <c r="E21" s="80">
        <f t="shared" si="0"/>
        <v>1.8947368421052631</v>
      </c>
      <c r="F21" s="80">
        <f t="shared" si="0"/>
        <v>2.5263157894736841</v>
      </c>
      <c r="G21" s="80">
        <f t="shared" si="0"/>
        <v>0</v>
      </c>
      <c r="H21" s="80">
        <f t="shared" si="0"/>
        <v>1.0526315789473684</v>
      </c>
      <c r="I21" s="80">
        <f t="shared" si="0"/>
        <v>1.9473684210526316</v>
      </c>
    </row>
    <row r="22" spans="1:9" ht="18" x14ac:dyDescent="0.35">
      <c r="A22" s="81" t="s">
        <v>49</v>
      </c>
      <c r="B22" s="82">
        <f>SUM(B2:B20)</f>
        <v>171</v>
      </c>
      <c r="C22" s="82">
        <f t="shared" ref="C22:I22" si="1">SUM(C2:C20)</f>
        <v>160</v>
      </c>
      <c r="D22" s="82">
        <f t="shared" si="1"/>
        <v>19</v>
      </c>
      <c r="E22" s="82">
        <f t="shared" si="1"/>
        <v>36</v>
      </c>
      <c r="F22" s="82">
        <f t="shared" si="1"/>
        <v>48</v>
      </c>
      <c r="G22" s="82">
        <f t="shared" si="1"/>
        <v>0</v>
      </c>
      <c r="H22" s="82">
        <f t="shared" si="1"/>
        <v>20</v>
      </c>
      <c r="I22" s="82">
        <f t="shared" si="1"/>
        <v>37</v>
      </c>
    </row>
    <row r="23" spans="1:9" ht="18" x14ac:dyDescent="0.35">
      <c r="A23" s="83" t="s">
        <v>50</v>
      </c>
      <c r="B23" s="84"/>
      <c r="C23" s="84"/>
      <c r="D23" s="85">
        <f>(D22*100)/C22</f>
        <v>11.875</v>
      </c>
      <c r="E23" s="85">
        <f>(E22*100)/C22</f>
        <v>22.5</v>
      </c>
      <c r="F23" s="85">
        <f>(F22*100)/C22</f>
        <v>30</v>
      </c>
      <c r="G23" s="85">
        <f>(G22*100)/C22</f>
        <v>0</v>
      </c>
      <c r="H23" s="85">
        <f>(H22*100)/C22</f>
        <v>12.5</v>
      </c>
      <c r="I23" s="85">
        <f>(I22*100)/C22</f>
        <v>23.125</v>
      </c>
    </row>
  </sheetData>
  <autoFilter ref="A1:I20" xr:uid="{837C21AB-2056-4CB6-BD0F-9F6E89460886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E0B8-28D4-435A-9352-9EDFCE5C6033}">
  <dimension ref="A1:I24"/>
  <sheetViews>
    <sheetView topLeftCell="A11" workbookViewId="0">
      <selection activeCell="K13" sqref="K13"/>
    </sheetView>
  </sheetViews>
  <sheetFormatPr defaultRowHeight="14.4" x14ac:dyDescent="0.3"/>
  <cols>
    <col min="1" max="1" width="38.109375" style="57" customWidth="1"/>
    <col min="2" max="2" width="14.21875" style="57" customWidth="1"/>
    <col min="3" max="3" width="14" style="57" customWidth="1"/>
    <col min="4" max="5" width="13" style="57" customWidth="1"/>
    <col min="6" max="6" width="13.109375" style="57" customWidth="1"/>
    <col min="7" max="7" width="19.77734375" style="57" customWidth="1"/>
    <col min="8" max="8" width="12.109375" style="57" customWidth="1"/>
    <col min="9" max="9" width="16.33203125" style="57" customWidth="1"/>
    <col min="10" max="16384" width="8.88671875" style="57"/>
  </cols>
  <sheetData>
    <row r="1" spans="1:9" ht="16.8" x14ac:dyDescent="0.3">
      <c r="A1" s="102" t="s">
        <v>0</v>
      </c>
      <c r="B1" s="102" t="s">
        <v>1</v>
      </c>
      <c r="C1" s="102" t="s">
        <v>2</v>
      </c>
      <c r="D1" s="102" t="s">
        <v>4</v>
      </c>
      <c r="E1" s="102" t="s">
        <v>130</v>
      </c>
      <c r="F1" s="102" t="s">
        <v>6</v>
      </c>
      <c r="G1" s="102" t="s">
        <v>7</v>
      </c>
      <c r="H1" s="102" t="s">
        <v>8</v>
      </c>
      <c r="I1" s="102" t="s">
        <v>176</v>
      </c>
    </row>
    <row r="2" spans="1:9" ht="16.8" x14ac:dyDescent="0.3">
      <c r="A2" s="60" t="s">
        <v>241</v>
      </c>
      <c r="B2" s="60">
        <v>13</v>
      </c>
      <c r="C2" s="60">
        <v>14</v>
      </c>
      <c r="D2" s="60">
        <v>0</v>
      </c>
      <c r="E2" s="60">
        <v>6</v>
      </c>
      <c r="F2" s="60">
        <v>4</v>
      </c>
      <c r="G2" s="60">
        <v>0</v>
      </c>
      <c r="H2" s="60">
        <v>2</v>
      </c>
      <c r="I2" s="60">
        <v>2</v>
      </c>
    </row>
    <row r="3" spans="1:9" ht="16.8" x14ac:dyDescent="0.3">
      <c r="A3" s="60" t="s">
        <v>242</v>
      </c>
      <c r="B3" s="60">
        <v>13</v>
      </c>
      <c r="C3" s="60">
        <v>4</v>
      </c>
      <c r="D3" s="60">
        <v>1</v>
      </c>
      <c r="E3" s="60">
        <v>0</v>
      </c>
      <c r="F3" s="60">
        <v>2</v>
      </c>
      <c r="G3" s="60">
        <v>0</v>
      </c>
      <c r="H3" s="60">
        <v>0</v>
      </c>
      <c r="I3" s="60">
        <v>1</v>
      </c>
    </row>
    <row r="4" spans="1:9" ht="16.8" x14ac:dyDescent="0.3">
      <c r="A4" s="60" t="s">
        <v>243</v>
      </c>
      <c r="B4" s="60">
        <v>15</v>
      </c>
      <c r="C4" s="60">
        <v>13</v>
      </c>
      <c r="D4" s="60">
        <v>2</v>
      </c>
      <c r="E4" s="60">
        <v>4</v>
      </c>
      <c r="F4" s="60">
        <v>3</v>
      </c>
      <c r="G4" s="60">
        <v>0</v>
      </c>
      <c r="H4" s="60">
        <v>2</v>
      </c>
      <c r="I4" s="60">
        <v>2</v>
      </c>
    </row>
    <row r="5" spans="1:9" ht="16.8" x14ac:dyDescent="0.3">
      <c r="A5" s="60" t="s">
        <v>244</v>
      </c>
      <c r="B5" s="60">
        <v>25</v>
      </c>
      <c r="C5" s="60">
        <v>15</v>
      </c>
      <c r="D5" s="60">
        <v>0</v>
      </c>
      <c r="E5" s="60">
        <v>1</v>
      </c>
      <c r="F5" s="60">
        <v>8</v>
      </c>
      <c r="G5" s="60">
        <v>0</v>
      </c>
      <c r="H5" s="60">
        <v>4</v>
      </c>
      <c r="I5" s="60">
        <v>2</v>
      </c>
    </row>
    <row r="6" spans="1:9" ht="16.8" x14ac:dyDescent="0.3">
      <c r="A6" s="60" t="s">
        <v>245</v>
      </c>
      <c r="B6" s="60">
        <v>10</v>
      </c>
      <c r="C6" s="60">
        <v>7</v>
      </c>
      <c r="D6" s="60">
        <v>2</v>
      </c>
      <c r="E6" s="60">
        <v>0</v>
      </c>
      <c r="F6" s="60">
        <v>1</v>
      </c>
      <c r="G6" s="60">
        <v>0</v>
      </c>
      <c r="H6" s="60">
        <v>2</v>
      </c>
      <c r="I6" s="60">
        <v>2</v>
      </c>
    </row>
    <row r="7" spans="1:9" ht="16.8" x14ac:dyDescent="0.3">
      <c r="A7" s="60" t="s">
        <v>246</v>
      </c>
      <c r="B7" s="60">
        <v>6</v>
      </c>
      <c r="C7" s="60">
        <v>14</v>
      </c>
      <c r="D7" s="60">
        <v>1</v>
      </c>
      <c r="E7" s="60">
        <v>0</v>
      </c>
      <c r="F7" s="60">
        <v>1</v>
      </c>
      <c r="G7" s="60">
        <v>0</v>
      </c>
      <c r="H7" s="60">
        <v>0</v>
      </c>
      <c r="I7" s="60">
        <v>12</v>
      </c>
    </row>
    <row r="8" spans="1:9" ht="16.8" x14ac:dyDescent="0.3">
      <c r="A8" s="60" t="s">
        <v>247</v>
      </c>
      <c r="B8" s="60">
        <v>11</v>
      </c>
      <c r="C8" s="60">
        <v>13</v>
      </c>
      <c r="D8" s="60">
        <v>2</v>
      </c>
      <c r="E8" s="60">
        <v>3</v>
      </c>
      <c r="F8" s="60">
        <v>2</v>
      </c>
      <c r="G8" s="60">
        <v>0</v>
      </c>
      <c r="H8" s="60">
        <v>5</v>
      </c>
      <c r="I8" s="60">
        <v>1</v>
      </c>
    </row>
    <row r="9" spans="1:9" ht="16.8" x14ac:dyDescent="0.3">
      <c r="A9" s="60" t="s">
        <v>248</v>
      </c>
      <c r="B9" s="60">
        <v>6</v>
      </c>
      <c r="C9" s="60">
        <v>5</v>
      </c>
      <c r="D9" s="60">
        <v>0</v>
      </c>
      <c r="E9" s="60">
        <v>1</v>
      </c>
      <c r="F9" s="60">
        <v>0</v>
      </c>
      <c r="G9" s="60">
        <v>0</v>
      </c>
      <c r="H9" s="60">
        <v>3</v>
      </c>
      <c r="I9" s="60">
        <v>1</v>
      </c>
    </row>
    <row r="10" spans="1:9" ht="16.8" x14ac:dyDescent="0.3">
      <c r="A10" s="60" t="s">
        <v>249</v>
      </c>
      <c r="B10" s="60">
        <v>10</v>
      </c>
      <c r="C10" s="60">
        <v>8</v>
      </c>
      <c r="D10" s="60">
        <v>5</v>
      </c>
      <c r="E10" s="60">
        <v>0</v>
      </c>
      <c r="F10" s="60">
        <v>2</v>
      </c>
      <c r="G10" s="60">
        <v>0</v>
      </c>
      <c r="H10" s="60">
        <v>0</v>
      </c>
      <c r="I10" s="60">
        <v>1</v>
      </c>
    </row>
    <row r="11" spans="1:9" ht="16.8" x14ac:dyDescent="0.3">
      <c r="A11" s="60" t="s">
        <v>250</v>
      </c>
      <c r="B11" s="60">
        <v>9</v>
      </c>
      <c r="C11" s="60">
        <v>8</v>
      </c>
      <c r="D11" s="60">
        <v>0</v>
      </c>
      <c r="E11" s="60">
        <v>1</v>
      </c>
      <c r="F11" s="60">
        <v>3</v>
      </c>
      <c r="G11" s="60">
        <v>0</v>
      </c>
      <c r="H11" s="60">
        <v>1</v>
      </c>
      <c r="I11" s="60">
        <v>3</v>
      </c>
    </row>
    <row r="12" spans="1:9" ht="16.8" x14ac:dyDescent="0.3">
      <c r="A12" s="60" t="s">
        <v>251</v>
      </c>
      <c r="B12" s="60">
        <v>1</v>
      </c>
      <c r="C12" s="60">
        <v>11</v>
      </c>
      <c r="D12" s="60">
        <v>0</v>
      </c>
      <c r="E12" s="60">
        <v>6</v>
      </c>
      <c r="F12" s="60">
        <v>2</v>
      </c>
      <c r="G12" s="60">
        <v>0</v>
      </c>
      <c r="H12" s="60">
        <v>0</v>
      </c>
      <c r="I12" s="60">
        <v>3</v>
      </c>
    </row>
    <row r="13" spans="1:9" ht="16.8" x14ac:dyDescent="0.3">
      <c r="A13" s="60" t="s">
        <v>252</v>
      </c>
      <c r="B13" s="60">
        <v>13</v>
      </c>
      <c r="C13" s="60">
        <v>10</v>
      </c>
      <c r="D13" s="60">
        <v>2</v>
      </c>
      <c r="E13" s="60">
        <v>0</v>
      </c>
      <c r="F13" s="60">
        <v>1</v>
      </c>
      <c r="G13" s="60">
        <v>0</v>
      </c>
      <c r="H13" s="60">
        <v>6</v>
      </c>
      <c r="I13" s="60">
        <v>1</v>
      </c>
    </row>
    <row r="14" spans="1:9" ht="16.8" x14ac:dyDescent="0.3">
      <c r="A14" s="60" t="s">
        <v>253</v>
      </c>
      <c r="B14" s="60">
        <v>16</v>
      </c>
      <c r="C14" s="60">
        <v>12</v>
      </c>
      <c r="D14" s="60">
        <v>1</v>
      </c>
      <c r="E14" s="60">
        <v>0</v>
      </c>
      <c r="F14" s="60">
        <v>3</v>
      </c>
      <c r="G14" s="60">
        <v>0</v>
      </c>
      <c r="H14" s="60">
        <v>7</v>
      </c>
      <c r="I14" s="60">
        <v>1</v>
      </c>
    </row>
    <row r="15" spans="1:9" ht="16.8" x14ac:dyDescent="0.3">
      <c r="A15" s="60" t="s">
        <v>254</v>
      </c>
      <c r="B15" s="60">
        <v>10</v>
      </c>
      <c r="C15" s="60">
        <v>11</v>
      </c>
      <c r="D15" s="60">
        <v>3</v>
      </c>
      <c r="E15" s="60">
        <v>0</v>
      </c>
      <c r="F15" s="60">
        <v>6</v>
      </c>
      <c r="G15" s="60">
        <v>0</v>
      </c>
      <c r="H15" s="60">
        <v>0</v>
      </c>
      <c r="I15" s="60">
        <v>2</v>
      </c>
    </row>
    <row r="16" spans="1:9" ht="16.8" x14ac:dyDescent="0.3">
      <c r="A16" s="60" t="s">
        <v>255</v>
      </c>
      <c r="B16" s="60">
        <v>6</v>
      </c>
      <c r="C16" s="60">
        <v>8</v>
      </c>
      <c r="D16" s="60">
        <v>1</v>
      </c>
      <c r="E16" s="60">
        <v>0</v>
      </c>
      <c r="F16" s="60">
        <v>3</v>
      </c>
      <c r="G16" s="60">
        <v>0</v>
      </c>
      <c r="H16" s="60">
        <v>2</v>
      </c>
      <c r="I16" s="60">
        <v>2</v>
      </c>
    </row>
    <row r="17" spans="1:9" ht="16.8" x14ac:dyDescent="0.3">
      <c r="A17" s="60" t="s">
        <v>256</v>
      </c>
      <c r="B17" s="60">
        <v>7</v>
      </c>
      <c r="C17" s="60">
        <v>7</v>
      </c>
      <c r="D17" s="60">
        <v>2</v>
      </c>
      <c r="E17" s="60">
        <v>0</v>
      </c>
      <c r="F17" s="60">
        <v>4</v>
      </c>
      <c r="G17" s="60">
        <v>0</v>
      </c>
      <c r="H17" s="60">
        <v>0</v>
      </c>
      <c r="I17" s="60">
        <v>1</v>
      </c>
    </row>
    <row r="18" spans="1:9" ht="16.8" x14ac:dyDescent="0.3">
      <c r="A18" s="60" t="s">
        <v>257</v>
      </c>
      <c r="B18" s="60">
        <v>4</v>
      </c>
      <c r="C18" s="60">
        <v>8</v>
      </c>
      <c r="D18" s="60">
        <v>0</v>
      </c>
      <c r="E18" s="60">
        <v>2</v>
      </c>
      <c r="F18" s="60">
        <v>2</v>
      </c>
      <c r="G18" s="60">
        <v>0</v>
      </c>
      <c r="H18" s="60">
        <v>3</v>
      </c>
      <c r="I18" s="60">
        <v>1</v>
      </c>
    </row>
    <row r="19" spans="1:9" ht="16.8" x14ac:dyDescent="0.3">
      <c r="A19" s="60" t="s">
        <v>258</v>
      </c>
      <c r="B19" s="60">
        <v>13</v>
      </c>
      <c r="C19" s="60">
        <v>6</v>
      </c>
      <c r="D19" s="60">
        <v>0</v>
      </c>
      <c r="E19" s="60">
        <v>0</v>
      </c>
      <c r="F19" s="60">
        <v>5</v>
      </c>
      <c r="G19" s="60">
        <v>0</v>
      </c>
      <c r="H19" s="60">
        <v>0</v>
      </c>
      <c r="I19" s="60">
        <v>1</v>
      </c>
    </row>
    <row r="20" spans="1:9" ht="16.8" x14ac:dyDescent="0.3">
      <c r="A20" s="60" t="s">
        <v>259</v>
      </c>
      <c r="B20" s="60">
        <v>14</v>
      </c>
      <c r="C20" s="60">
        <v>10</v>
      </c>
      <c r="D20" s="60">
        <v>0</v>
      </c>
      <c r="E20" s="60">
        <v>5</v>
      </c>
      <c r="F20" s="60">
        <v>3</v>
      </c>
      <c r="G20" s="60">
        <v>0</v>
      </c>
      <c r="H20" s="60">
        <v>0</v>
      </c>
      <c r="I20" s="60">
        <v>2</v>
      </c>
    </row>
    <row r="21" spans="1:9" ht="16.8" x14ac:dyDescent="0.3">
      <c r="A21" s="60" t="s">
        <v>260</v>
      </c>
      <c r="B21" s="60">
        <v>4</v>
      </c>
      <c r="C21" s="60">
        <v>7</v>
      </c>
      <c r="D21" s="60">
        <v>0</v>
      </c>
      <c r="E21" s="60">
        <v>1</v>
      </c>
      <c r="F21" s="60">
        <v>2</v>
      </c>
      <c r="G21" s="60">
        <v>0</v>
      </c>
      <c r="H21" s="60">
        <v>1</v>
      </c>
      <c r="I21" s="60">
        <v>3</v>
      </c>
    </row>
    <row r="22" spans="1:9" ht="18" x14ac:dyDescent="0.35">
      <c r="A22" s="79" t="s">
        <v>152</v>
      </c>
      <c r="B22" s="80">
        <f>AVERAGE(B2:B21)</f>
        <v>10.3</v>
      </c>
      <c r="C22" s="80">
        <f t="shared" ref="C22:I22" si="0">AVERAGE(C2:C21)</f>
        <v>9.5500000000000007</v>
      </c>
      <c r="D22" s="80">
        <f t="shared" si="0"/>
        <v>1.1000000000000001</v>
      </c>
      <c r="E22" s="80">
        <f t="shared" si="0"/>
        <v>1.5</v>
      </c>
      <c r="F22" s="80">
        <f t="shared" si="0"/>
        <v>2.85</v>
      </c>
      <c r="G22" s="80">
        <f t="shared" si="0"/>
        <v>0</v>
      </c>
      <c r="H22" s="80">
        <f t="shared" si="0"/>
        <v>1.9</v>
      </c>
      <c r="I22" s="80">
        <f t="shared" si="0"/>
        <v>2.2000000000000002</v>
      </c>
    </row>
    <row r="23" spans="1:9" ht="18" x14ac:dyDescent="0.35">
      <c r="A23" s="81" t="s">
        <v>49</v>
      </c>
      <c r="B23" s="82">
        <f>SUM(B2:B21)</f>
        <v>206</v>
      </c>
      <c r="C23" s="82">
        <f t="shared" ref="C23:I23" si="1">SUM(C2:C21)</f>
        <v>191</v>
      </c>
      <c r="D23" s="82">
        <f t="shared" si="1"/>
        <v>22</v>
      </c>
      <c r="E23" s="82">
        <f t="shared" si="1"/>
        <v>30</v>
      </c>
      <c r="F23" s="82">
        <f t="shared" si="1"/>
        <v>57</v>
      </c>
      <c r="G23" s="82">
        <f t="shared" si="1"/>
        <v>0</v>
      </c>
      <c r="H23" s="82">
        <f t="shared" si="1"/>
        <v>38</v>
      </c>
      <c r="I23" s="82">
        <f t="shared" si="1"/>
        <v>44</v>
      </c>
    </row>
    <row r="24" spans="1:9" ht="18" x14ac:dyDescent="0.35">
      <c r="A24" s="83" t="s">
        <v>50</v>
      </c>
      <c r="B24" s="84"/>
      <c r="C24" s="84"/>
      <c r="D24" s="85">
        <f>(D23*100)/C23</f>
        <v>11.518324607329843</v>
      </c>
      <c r="E24" s="85">
        <f>(E23*100)/C23</f>
        <v>15.706806282722512</v>
      </c>
      <c r="F24" s="85">
        <f>(F23*100)/C23</f>
        <v>29.842931937172775</v>
      </c>
      <c r="G24" s="85">
        <f>(G23*100)/C23</f>
        <v>0</v>
      </c>
      <c r="H24" s="85">
        <f>(H23*100)/C23</f>
        <v>19.895287958115183</v>
      </c>
      <c r="I24" s="85">
        <f>(I23*100)/C23</f>
        <v>23.036649214659686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74521013D363438162814CB3C3274E" ma:contentTypeVersion="18" ma:contentTypeDescription="Crie um novo documento." ma:contentTypeScope="" ma:versionID="a86e4357f00eeb667c37edaf57a3f4ff">
  <xsd:schema xmlns:xsd="http://www.w3.org/2001/XMLSchema" xmlns:xs="http://www.w3.org/2001/XMLSchema" xmlns:p="http://schemas.microsoft.com/office/2006/metadata/properties" xmlns:ns2="2cb162dc-10ae-41e7-ad88-ef88cd020782" xmlns:ns3="c8aa00f0-701f-46f3-bac8-c7b53165e82b" targetNamespace="http://schemas.microsoft.com/office/2006/metadata/properties" ma:root="true" ma:fieldsID="52ed42daa039007d654f69783bba2e97" ns2:_="" ns3:_="">
    <xsd:import namespace="2cb162dc-10ae-41e7-ad88-ef88cd020782"/>
    <xsd:import namespace="c8aa00f0-701f-46f3-bac8-c7b53165e8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b162dc-10ae-41e7-ad88-ef88cd0207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5aceab9-5ff2-43e4-bddd-13a9b4577f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aa00f0-701f-46f3-bac8-c7b53165e82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2153108-1f83-4942-96ee-9b229bd88006}" ma:internalName="TaxCatchAll" ma:showField="CatchAllData" ma:web="c8aa00f0-701f-46f3-bac8-c7b53165e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aa00f0-701f-46f3-bac8-c7b53165e82b" xsi:nil="true"/>
    <lcf76f155ced4ddcb4097134ff3c332f xmlns="2cb162dc-10ae-41e7-ad88-ef88cd02078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991349-7DB6-4550-9291-2FDB5558EF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b162dc-10ae-41e7-ad88-ef88cd020782"/>
    <ds:schemaRef ds:uri="c8aa00f0-701f-46f3-bac8-c7b53165e8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13471A-5496-4502-B82B-1B1DE3FF851B}">
  <ds:schemaRefs>
    <ds:schemaRef ds:uri="http://schemas.microsoft.com/office/2006/metadata/properties"/>
    <ds:schemaRef ds:uri="http://schemas.microsoft.com/office/infopath/2007/PartnerControls"/>
    <ds:schemaRef ds:uri="c8aa00f0-701f-46f3-bac8-c7b53165e82b"/>
    <ds:schemaRef ds:uri="2cb162dc-10ae-41e7-ad88-ef88cd020782"/>
  </ds:schemaRefs>
</ds:datastoreItem>
</file>

<file path=customXml/itemProps3.xml><?xml version="1.0" encoding="utf-8"?>
<ds:datastoreItem xmlns:ds="http://schemas.openxmlformats.org/officeDocument/2006/customXml" ds:itemID="{2CB567D8-B6B7-428A-BE56-BB96D08839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Resumo</vt:lpstr>
      <vt:lpstr>Jan-23</vt:lpstr>
      <vt:lpstr>Fev-23</vt:lpstr>
      <vt:lpstr>Mar-23</vt:lpstr>
      <vt:lpstr>Abr-23</vt:lpstr>
      <vt:lpstr>Mai-23</vt:lpstr>
      <vt:lpstr>Jun-23</vt:lpstr>
      <vt:lpstr>Jul-23</vt:lpstr>
      <vt:lpstr>Ago-23</vt:lpstr>
      <vt:lpstr>Set-23</vt:lpstr>
      <vt:lpstr>Out-23</vt:lpstr>
      <vt:lpstr>Nov-23</vt:lpstr>
      <vt:lpstr>Dez-23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Xavier Cogini</dc:creator>
  <cp:lastModifiedBy>Andre Xavier Cogini</cp:lastModifiedBy>
  <dcterms:created xsi:type="dcterms:W3CDTF">2015-06-05T18:19:34Z</dcterms:created>
  <dcterms:modified xsi:type="dcterms:W3CDTF">2024-01-02T11:34:21Z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0x0101007E74521013D363438162814CB3C3274E</vt:lpwstr>
  </property>
  <property fmtid="{D5CDD505-2E9C-101B-9397-08002B2CF9AE}" pid="3" name="MediaServiceImageTags">
    <vt:lpwstr/>
  </property>
</Properties>
</file>